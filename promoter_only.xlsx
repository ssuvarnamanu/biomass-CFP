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hz-my.sharepoint.com/personal/msuvarna_ethz_ch/Documents/Self_projects/zeolites_btx/Model_related/"/>
    </mc:Choice>
  </mc:AlternateContent>
  <xr:revisionPtr revIDLastSave="82" documentId="8_{4E4D69CA-22FF-46FD-8D7E-1BE9F00187D6}" xr6:coauthVersionLast="47" xr6:coauthVersionMax="47" xr10:uidLastSave="{39F23ABD-D6AF-4F20-A91E-29E327989DBF}"/>
  <bookViews>
    <workbookView xWindow="-98" yWindow="-98" windowWidth="19396" windowHeight="11475" xr2:uid="{87FAFF4F-CBC3-484C-8E29-DA24841A633D}"/>
  </bookViews>
  <sheets>
    <sheet name="Benchmark_ZSM" sheetId="1" r:id="rId1"/>
    <sheet name="Lookuo" sheetId="2" r:id="rId2"/>
  </sheets>
  <externalReferences>
    <externalReference r:id="rId3"/>
  </externalReferences>
  <definedNames>
    <definedName name="_xlnm._FilterDatabase" localSheetId="0" hidden="1">Benchmark_ZSM!$A$1:$P$104</definedName>
    <definedName name="_xlnm._FilterDatabase" localSheetId="1" hidden="1">Lookuo!$A$1:$D$255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" i="2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0" i="1"/>
  <c r="B68" i="1"/>
  <c r="B66" i="1"/>
  <c r="B64" i="1"/>
  <c r="B63" i="1"/>
  <c r="B62" i="1"/>
  <c r="B61" i="1"/>
  <c r="B60" i="1"/>
  <c r="B59" i="1"/>
  <c r="B58" i="1"/>
  <c r="B56" i="1"/>
  <c r="B55" i="1"/>
  <c r="B54" i="1"/>
  <c r="B53" i="1"/>
  <c r="B52" i="1"/>
  <c r="B51" i="1"/>
  <c r="B48" i="1"/>
  <c r="B47" i="1"/>
  <c r="B46" i="1"/>
  <c r="B45" i="1"/>
  <c r="B44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<sst xmlns="http://schemas.openxmlformats.org/spreadsheetml/2006/main" count="287" uniqueCount="23">
  <si>
    <t>H/C</t>
  </si>
  <si>
    <t>Promoter loading</t>
  </si>
  <si>
    <t>Ec</t>
  </si>
  <si>
    <t>X</t>
  </si>
  <si>
    <t>Si/Al</t>
  </si>
  <si>
    <t>Acidity</t>
  </si>
  <si>
    <t>SBET</t>
  </si>
  <si>
    <t>T</t>
  </si>
  <si>
    <t>CB</t>
  </si>
  <si>
    <t>Y</t>
  </si>
  <si>
    <t>SB</t>
  </si>
  <si>
    <t>ST</t>
  </si>
  <si>
    <t>SX</t>
  </si>
  <si>
    <t>Mg</t>
  </si>
  <si>
    <t>Ga-Ni</t>
  </si>
  <si>
    <t>Ni-Co</t>
  </si>
  <si>
    <t>Promoter</t>
  </si>
  <si>
    <t>WHSV</t>
  </si>
  <si>
    <t>C</t>
  </si>
  <si>
    <t>B</t>
  </si>
  <si>
    <t>Mode</t>
  </si>
  <si>
    <t>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</si>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</sst>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msuvarna_ethz_ch/Documents/Self_projects/zeolites_btx/dataset_aligned.xlsx" TargetMode="External"/><Relationship Id="rId1" Type="http://schemas.openxmlformats.org/officeDocument/2006/relationships/externalLinkPath" Target="/personal/msuvarna_ethz_ch/Documents/Self_projects/zeolites_btx/dataset_alig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Imputation"/>
      <sheetName val="Input features"/>
      <sheetName val="Sheet4"/>
      <sheetName val="KNN_imputation"/>
      <sheetName val="for model"/>
      <sheetName val="curated data"/>
      <sheetName val="lOOKUP"/>
      <sheetName val="Benchmark_ZSM"/>
    </sheetNames>
    <sheetDataSet>
      <sheetData sheetId="0"/>
      <sheetData sheetId="1"/>
      <sheetData sheetId="2">
        <row r="18">
          <cell r="D18">
            <v>0</v>
          </cell>
        </row>
      </sheetData>
      <sheetData sheetId="3"/>
      <sheetData sheetId="4"/>
      <sheetData sheetId="5"/>
      <sheetData sheetId="6"/>
      <sheetData sheetId="7">
        <row r="3">
          <cell r="C3" t="str">
            <v>Ag</v>
          </cell>
          <cell r="M3">
            <v>2.95</v>
          </cell>
          <cell r="N3" t="str">
            <v>Ag</v>
          </cell>
        </row>
        <row r="4">
          <cell r="M4">
            <v>4.32</v>
          </cell>
          <cell r="N4" t="str">
            <v>Ce</v>
          </cell>
        </row>
        <row r="5">
          <cell r="M5">
            <v>4.3899999999999997</v>
          </cell>
          <cell r="N5" t="str">
            <v>Co</v>
          </cell>
        </row>
        <row r="6">
          <cell r="M6">
            <v>3.49</v>
          </cell>
          <cell r="N6" t="str">
            <v>Cu</v>
          </cell>
        </row>
        <row r="7">
          <cell r="M7">
            <v>4.28</v>
          </cell>
          <cell r="N7" t="str">
            <v>Fe</v>
          </cell>
        </row>
        <row r="8">
          <cell r="M8">
            <v>2.81</v>
          </cell>
          <cell r="N8" t="str">
            <v>Ga</v>
          </cell>
        </row>
        <row r="9">
          <cell r="M9">
            <v>3.85</v>
          </cell>
          <cell r="N9" t="str">
            <v>Ge</v>
          </cell>
        </row>
        <row r="10">
          <cell r="M10">
            <v>2.52</v>
          </cell>
          <cell r="N10" t="str">
            <v>In</v>
          </cell>
        </row>
        <row r="11">
          <cell r="M11">
            <v>6.94</v>
          </cell>
          <cell r="N11" t="str">
            <v>Ir</v>
          </cell>
        </row>
        <row r="12">
          <cell r="M12">
            <v>4.47</v>
          </cell>
          <cell r="N12" t="str">
            <v>La</v>
          </cell>
        </row>
        <row r="13">
          <cell r="M13">
            <v>1.63</v>
          </cell>
          <cell r="N13" t="str">
            <v>Li</v>
          </cell>
        </row>
        <row r="14">
          <cell r="M14">
            <v>6.82</v>
          </cell>
          <cell r="N14" t="str">
            <v>Mo</v>
          </cell>
        </row>
        <row r="15">
          <cell r="M15">
            <v>4.4400000000000004</v>
          </cell>
          <cell r="N15" t="str">
            <v>Ni</v>
          </cell>
        </row>
        <row r="16">
          <cell r="M16">
            <v>3.89</v>
          </cell>
          <cell r="N16" t="str">
            <v>Pd</v>
          </cell>
        </row>
        <row r="17">
          <cell r="M17">
            <v>5.84</v>
          </cell>
          <cell r="N17" t="str">
            <v>Pt</v>
          </cell>
        </row>
        <row r="18">
          <cell r="M18">
            <v>8.0299999999999994</v>
          </cell>
          <cell r="N18" t="str">
            <v>Re</v>
          </cell>
        </row>
        <row r="19">
          <cell r="M19">
            <v>6.74</v>
          </cell>
          <cell r="N19" t="str">
            <v>Ru</v>
          </cell>
        </row>
        <row r="20">
          <cell r="M20">
            <v>3.14</v>
          </cell>
          <cell r="N20" t="str">
            <v>Sn</v>
          </cell>
        </row>
        <row r="21">
          <cell r="M21">
            <v>5.31</v>
          </cell>
          <cell r="N21" t="str">
            <v>V</v>
          </cell>
        </row>
        <row r="22">
          <cell r="M22">
            <v>8.9</v>
          </cell>
          <cell r="N22" t="str">
            <v>W</v>
          </cell>
        </row>
        <row r="23">
          <cell r="M23">
            <v>1.35</v>
          </cell>
          <cell r="N23" t="str">
            <v>Zn</v>
          </cell>
        </row>
        <row r="24">
          <cell r="M24">
            <v>6.25</v>
          </cell>
          <cell r="N24" t="str">
            <v>Zr</v>
          </cell>
        </row>
        <row r="25">
          <cell r="M25">
            <v>1.1000000000000001</v>
          </cell>
          <cell r="N25" t="str">
            <v>Na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C4BB-9ADE-494A-BFCB-E5102825DB20}">
  <dimension ref="A1:P104"/>
  <sheetViews>
    <sheetView tabSelected="1" workbookViewId="0">
      <selection activeCell="Q1" sqref="Q1:R1048576"/>
    </sheetView>
  </sheetViews>
  <sheetFormatPr defaultRowHeight="14.25" x14ac:dyDescent="0.45"/>
  <sheetData>
    <row r="1" spans="1:16" x14ac:dyDescent="0.4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20</v>
      </c>
      <c r="J1" t="s">
        <v>7</v>
      </c>
      <c r="K1" t="s">
        <v>8</v>
      </c>
      <c r="L1" t="s">
        <v>17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45">
      <c r="A2">
        <v>-0.41062252548226796</v>
      </c>
      <c r="B2" t="str">
        <f>VLOOKUP($D2,[1]lOOKUP!$M$3:$N$25,2,FALSE)</f>
        <v>Cu</v>
      </c>
      <c r="C2">
        <v>0.25</v>
      </c>
      <c r="D2">
        <v>3.49</v>
      </c>
      <c r="E2">
        <v>1.9</v>
      </c>
      <c r="F2">
        <v>24</v>
      </c>
      <c r="G2">
        <v>0.73</v>
      </c>
      <c r="H2">
        <v>322.7</v>
      </c>
      <c r="I2">
        <v>2</v>
      </c>
      <c r="J2">
        <v>500</v>
      </c>
      <c r="K2">
        <v>1</v>
      </c>
      <c r="L2">
        <v>12</v>
      </c>
      <c r="M2" s="1">
        <v>8.85</v>
      </c>
      <c r="N2" s="1">
        <v>29.943502824858758</v>
      </c>
      <c r="O2" s="1">
        <v>30.621468926553675</v>
      </c>
      <c r="P2" s="1">
        <v>20</v>
      </c>
    </row>
    <row r="3" spans="1:16" x14ac:dyDescent="0.45">
      <c r="A3">
        <v>-0.41062252548226796</v>
      </c>
      <c r="B3" t="str">
        <f>VLOOKUP($D3,[1]lOOKUP!$M$3:$N$25,2,FALSE)</f>
        <v>Cu</v>
      </c>
      <c r="C3">
        <v>0.5</v>
      </c>
      <c r="D3">
        <v>3.49</v>
      </c>
      <c r="E3">
        <v>1.9</v>
      </c>
      <c r="F3">
        <v>24</v>
      </c>
      <c r="G3">
        <v>1.1200000000000001</v>
      </c>
      <c r="H3">
        <v>316.8</v>
      </c>
      <c r="I3">
        <v>2</v>
      </c>
      <c r="J3">
        <v>500</v>
      </c>
      <c r="K3">
        <v>1</v>
      </c>
      <c r="L3">
        <v>12</v>
      </c>
      <c r="M3" s="1">
        <v>16.989999999999998</v>
      </c>
      <c r="N3" s="1">
        <v>16.362566215420838</v>
      </c>
      <c r="O3" s="1">
        <v>25.485579752795765</v>
      </c>
      <c r="P3" s="1">
        <v>31.54796939376104</v>
      </c>
    </row>
    <row r="4" spans="1:16" x14ac:dyDescent="0.45">
      <c r="A4">
        <v>-0.41062252548226796</v>
      </c>
      <c r="B4" t="str">
        <f>VLOOKUP($D4,[1]lOOKUP!$M$3:$N$25,2,FALSE)</f>
        <v>Cu</v>
      </c>
      <c r="C4">
        <v>1</v>
      </c>
      <c r="D4">
        <v>3.49</v>
      </c>
      <c r="E4">
        <v>1.9</v>
      </c>
      <c r="F4">
        <v>24</v>
      </c>
      <c r="G4">
        <v>1.04</v>
      </c>
      <c r="H4">
        <v>310.5</v>
      </c>
      <c r="I4">
        <v>2</v>
      </c>
      <c r="J4">
        <v>500</v>
      </c>
      <c r="K4">
        <v>1</v>
      </c>
      <c r="L4">
        <v>12</v>
      </c>
      <c r="M4" s="1">
        <v>13.06</v>
      </c>
      <c r="N4" s="1">
        <v>23.277182235834609</v>
      </c>
      <c r="O4" s="1">
        <v>30.398162327718222</v>
      </c>
      <c r="P4" s="1">
        <v>26.263399693721286</v>
      </c>
    </row>
    <row r="5" spans="1:16" x14ac:dyDescent="0.45">
      <c r="A5">
        <v>-0.41062252548226796</v>
      </c>
      <c r="B5" t="str">
        <f>VLOOKUP($D5,[1]lOOKUP!$M$3:$N$25,2,FALSE)</f>
        <v>Cu</v>
      </c>
      <c r="C5">
        <v>3</v>
      </c>
      <c r="D5">
        <v>3.49</v>
      </c>
      <c r="E5">
        <v>1.9</v>
      </c>
      <c r="F5">
        <v>24</v>
      </c>
      <c r="G5">
        <v>1.39</v>
      </c>
      <c r="H5">
        <v>306.60000000000002</v>
      </c>
      <c r="I5">
        <v>2</v>
      </c>
      <c r="J5">
        <v>500</v>
      </c>
      <c r="K5">
        <v>1</v>
      </c>
      <c r="L5">
        <v>12</v>
      </c>
      <c r="M5" s="1">
        <v>14.18</v>
      </c>
      <c r="N5" s="1">
        <v>27.644569816643159</v>
      </c>
      <c r="O5" s="1">
        <v>25.811001410437235</v>
      </c>
      <c r="P5" s="1">
        <v>27.715091678420311</v>
      </c>
    </row>
    <row r="6" spans="1:16" x14ac:dyDescent="0.45">
      <c r="A6">
        <v>-0.41062252548226796</v>
      </c>
      <c r="B6" t="str">
        <f>VLOOKUP($D6,[1]lOOKUP!$M$3:$N$25,2,FALSE)</f>
        <v>Cu</v>
      </c>
      <c r="C6">
        <v>5</v>
      </c>
      <c r="D6">
        <v>3.49</v>
      </c>
      <c r="E6">
        <v>1.9</v>
      </c>
      <c r="F6">
        <v>24</v>
      </c>
      <c r="G6">
        <v>1.54</v>
      </c>
      <c r="H6">
        <v>280.60000000000002</v>
      </c>
      <c r="I6">
        <v>2</v>
      </c>
      <c r="J6">
        <v>500</v>
      </c>
      <c r="K6">
        <v>1</v>
      </c>
      <c r="L6">
        <v>12</v>
      </c>
      <c r="M6" s="1">
        <v>9.39</v>
      </c>
      <c r="N6" s="1">
        <v>37.167199148029816</v>
      </c>
      <c r="O6" s="1">
        <v>41.853035143769965</v>
      </c>
      <c r="P6" s="1">
        <v>6.9222577209797649</v>
      </c>
    </row>
    <row r="7" spans="1:16" x14ac:dyDescent="0.45">
      <c r="A7">
        <v>1.5512265512265399E-2</v>
      </c>
      <c r="B7" t="str">
        <f>VLOOKUP($D7,[1]lOOKUP!$M$3:$N$25,2,FALSE)</f>
        <v>La</v>
      </c>
      <c r="C7">
        <v>20</v>
      </c>
      <c r="D7">
        <v>4.47</v>
      </c>
      <c r="E7">
        <v>1.1000000000000001</v>
      </c>
      <c r="F7">
        <v>80</v>
      </c>
      <c r="G7">
        <v>0.16300000000000001</v>
      </c>
      <c r="H7">
        <v>221</v>
      </c>
      <c r="I7">
        <v>2</v>
      </c>
      <c r="J7">
        <v>450</v>
      </c>
      <c r="K7">
        <v>2</v>
      </c>
      <c r="L7">
        <v>1</v>
      </c>
      <c r="M7" s="1">
        <v>29.4</v>
      </c>
      <c r="N7" s="1">
        <v>2.0408163265306123</v>
      </c>
      <c r="O7" s="1">
        <v>14.285714285714286</v>
      </c>
      <c r="P7" s="1">
        <v>55.782312925170061</v>
      </c>
    </row>
    <row r="8" spans="1:16" x14ac:dyDescent="0.45">
      <c r="A8">
        <v>1.5512265512265399E-2</v>
      </c>
      <c r="B8" t="str">
        <f>VLOOKUP($D8,[1]lOOKUP!$M$3:$N$25,2,FALSE)</f>
        <v>Ce</v>
      </c>
      <c r="C8">
        <v>20</v>
      </c>
      <c r="D8">
        <v>4.32</v>
      </c>
      <c r="E8">
        <v>1.1200000000000001</v>
      </c>
      <c r="F8">
        <v>80</v>
      </c>
      <c r="G8">
        <v>0.216</v>
      </c>
      <c r="H8">
        <v>233</v>
      </c>
      <c r="I8">
        <v>2</v>
      </c>
      <c r="J8">
        <v>450</v>
      </c>
      <c r="K8">
        <v>2</v>
      </c>
      <c r="L8">
        <v>1</v>
      </c>
      <c r="M8" s="1">
        <v>27.7</v>
      </c>
      <c r="N8" s="1">
        <v>3.2490974729241877</v>
      </c>
      <c r="O8" s="1">
        <v>14.801444043321299</v>
      </c>
      <c r="P8" s="1">
        <v>50.541516245487365</v>
      </c>
    </row>
    <row r="9" spans="1:16" x14ac:dyDescent="0.45">
      <c r="A9">
        <v>1.5512265512265399E-2</v>
      </c>
      <c r="B9" t="s">
        <v>13</v>
      </c>
      <c r="C9">
        <v>20</v>
      </c>
      <c r="D9">
        <v>1.52</v>
      </c>
      <c r="E9">
        <v>1.31</v>
      </c>
      <c r="F9">
        <v>80</v>
      </c>
      <c r="G9">
        <v>0.154</v>
      </c>
      <c r="H9">
        <v>173</v>
      </c>
      <c r="I9">
        <v>2</v>
      </c>
      <c r="J9">
        <v>450</v>
      </c>
      <c r="K9">
        <v>2</v>
      </c>
      <c r="L9">
        <v>1</v>
      </c>
      <c r="M9" s="1">
        <v>28.1</v>
      </c>
      <c r="N9" s="1">
        <v>2.4911032028469751</v>
      </c>
      <c r="O9" s="1">
        <v>16.370106761565832</v>
      </c>
      <c r="P9" s="1">
        <v>46.97508896797153</v>
      </c>
    </row>
    <row r="10" spans="1:16" x14ac:dyDescent="0.45">
      <c r="A10">
        <v>1.5512265512265399E-2</v>
      </c>
      <c r="B10" t="str">
        <f>VLOOKUP($D10,[1]lOOKUP!$M$3:$N$25,2,FALSE)</f>
        <v>Zn</v>
      </c>
      <c r="C10">
        <v>20</v>
      </c>
      <c r="D10">
        <v>1.35</v>
      </c>
      <c r="E10">
        <v>1.65</v>
      </c>
      <c r="F10">
        <v>80</v>
      </c>
      <c r="G10">
        <v>0.29899999999999999</v>
      </c>
      <c r="H10">
        <v>161</v>
      </c>
      <c r="I10">
        <v>2</v>
      </c>
      <c r="J10">
        <v>450</v>
      </c>
      <c r="K10">
        <v>2</v>
      </c>
      <c r="L10">
        <v>1</v>
      </c>
      <c r="M10" s="1">
        <v>27.3</v>
      </c>
      <c r="N10" s="1">
        <v>3.6630036630036629</v>
      </c>
      <c r="O10" s="1">
        <v>17.216117216117215</v>
      </c>
      <c r="P10" s="1">
        <v>49.08424908424908</v>
      </c>
    </row>
    <row r="11" spans="1:16" x14ac:dyDescent="0.45">
      <c r="A11">
        <v>0.30322032146849659</v>
      </c>
      <c r="B11" t="str">
        <f>VLOOKUP($D11,[1]lOOKUP!$M$3:$N$25,2,FALSE)</f>
        <v>Zn</v>
      </c>
      <c r="C11">
        <v>2</v>
      </c>
      <c r="D11">
        <v>1.35</v>
      </c>
      <c r="E11">
        <v>1.65</v>
      </c>
      <c r="F11">
        <v>38</v>
      </c>
      <c r="G11">
        <v>0.24199999999999999</v>
      </c>
      <c r="H11">
        <v>261.39</v>
      </c>
      <c r="I11">
        <v>2</v>
      </c>
      <c r="J11">
        <v>600</v>
      </c>
      <c r="K11">
        <v>4</v>
      </c>
      <c r="L11">
        <v>60</v>
      </c>
      <c r="M11" s="1">
        <v>17.61</v>
      </c>
      <c r="N11" s="1">
        <v>11.357183418512209</v>
      </c>
      <c r="O11" s="1">
        <v>35.77512776831346</v>
      </c>
      <c r="P11" s="1">
        <v>41.578648495173198</v>
      </c>
    </row>
    <row r="12" spans="1:16" x14ac:dyDescent="0.45">
      <c r="A12">
        <v>0.30322032146849659</v>
      </c>
      <c r="B12" t="str">
        <f>VLOOKUP($D12,[1]lOOKUP!$M$3:$N$25,2,FALSE)</f>
        <v>Fe</v>
      </c>
      <c r="C12">
        <v>2</v>
      </c>
      <c r="D12">
        <v>4.28</v>
      </c>
      <c r="E12">
        <v>1.83</v>
      </c>
      <c r="F12">
        <v>38</v>
      </c>
      <c r="G12">
        <v>0.27200000000000002</v>
      </c>
      <c r="H12">
        <v>260.74</v>
      </c>
      <c r="I12">
        <v>2</v>
      </c>
      <c r="J12">
        <v>600</v>
      </c>
      <c r="K12">
        <v>4</v>
      </c>
      <c r="L12">
        <v>60</v>
      </c>
      <c r="M12" s="1">
        <v>15.212</v>
      </c>
      <c r="N12" s="1">
        <v>8.8088351301604</v>
      </c>
      <c r="O12" s="1">
        <v>35.695503549829084</v>
      </c>
      <c r="P12" s="1">
        <v>39.705495661320015</v>
      </c>
    </row>
    <row r="13" spans="1:16" x14ac:dyDescent="0.45">
      <c r="A13">
        <v>0.30322032146849659</v>
      </c>
      <c r="B13" t="str">
        <f>VLOOKUP($D13,[1]lOOKUP!$M$3:$N$25,2,FALSE)</f>
        <v>Ga</v>
      </c>
      <c r="C13">
        <v>2</v>
      </c>
      <c r="D13">
        <v>2.81</v>
      </c>
      <c r="E13">
        <v>1.81</v>
      </c>
      <c r="F13">
        <v>38</v>
      </c>
      <c r="G13">
        <v>0.19500000000000001</v>
      </c>
      <c r="H13">
        <v>262.87</v>
      </c>
      <c r="I13">
        <v>2</v>
      </c>
      <c r="J13">
        <v>600</v>
      </c>
      <c r="K13">
        <v>4</v>
      </c>
      <c r="L13">
        <v>60</v>
      </c>
      <c r="M13" s="1">
        <v>12.065</v>
      </c>
      <c r="N13" s="1">
        <v>9.6145876502279304</v>
      </c>
      <c r="O13" s="1">
        <v>36.054703688354742</v>
      </c>
      <c r="P13" s="1">
        <v>46.581019477828434</v>
      </c>
    </row>
    <row r="14" spans="1:16" x14ac:dyDescent="0.45">
      <c r="A14">
        <v>0.30322032146849659</v>
      </c>
      <c r="B14" t="str">
        <f>VLOOKUP($D14,[1]lOOKUP!$M$3:$N$25,2,FALSE)</f>
        <v>Ce</v>
      </c>
      <c r="C14">
        <v>2</v>
      </c>
      <c r="D14">
        <v>4.32</v>
      </c>
      <c r="E14">
        <v>1.1200000000000001</v>
      </c>
      <c r="F14">
        <v>38</v>
      </c>
      <c r="G14">
        <v>0.216</v>
      </c>
      <c r="H14">
        <v>248.36</v>
      </c>
      <c r="I14">
        <v>2</v>
      </c>
      <c r="J14">
        <v>600</v>
      </c>
      <c r="K14">
        <v>4</v>
      </c>
      <c r="L14">
        <v>60</v>
      </c>
      <c r="M14" s="1">
        <v>13.224</v>
      </c>
      <c r="N14" s="1">
        <v>9.6793708408953414</v>
      </c>
      <c r="O14" s="1">
        <v>37.810042347247432</v>
      </c>
      <c r="P14" s="1">
        <v>43.481548699334546</v>
      </c>
    </row>
    <row r="15" spans="1:16" x14ac:dyDescent="0.45">
      <c r="A15">
        <v>0.30322032146849659</v>
      </c>
      <c r="B15" t="str">
        <f>VLOOKUP($D15,[1]lOOKUP!$M$3:$N$25,2,FALSE)</f>
        <v>La</v>
      </c>
      <c r="C15">
        <v>2</v>
      </c>
      <c r="D15">
        <v>4.47</v>
      </c>
      <c r="E15">
        <v>1.1000000000000001</v>
      </c>
      <c r="F15">
        <v>38</v>
      </c>
      <c r="G15">
        <v>0.23400000000000001</v>
      </c>
      <c r="H15">
        <v>259.20999999999998</v>
      </c>
      <c r="I15">
        <v>2</v>
      </c>
      <c r="J15">
        <v>600</v>
      </c>
      <c r="K15">
        <v>4</v>
      </c>
      <c r="L15">
        <v>60</v>
      </c>
      <c r="M15" s="1">
        <v>13.195</v>
      </c>
      <c r="N15" s="1">
        <v>7.5786282682834409</v>
      </c>
      <c r="O15" s="1">
        <v>34.179613489958314</v>
      </c>
      <c r="P15" s="1">
        <v>45.320197044334975</v>
      </c>
    </row>
    <row r="16" spans="1:16" x14ac:dyDescent="0.45">
      <c r="A16">
        <v>0.63866771281335966</v>
      </c>
      <c r="B16" t="str">
        <f>VLOOKUP($D16,[1]lOOKUP!$M$3:$N$25,2,FALSE)</f>
        <v>Co</v>
      </c>
      <c r="C16">
        <v>5</v>
      </c>
      <c r="D16">
        <v>4.3899999999999997</v>
      </c>
      <c r="E16">
        <v>1.88</v>
      </c>
      <c r="F16">
        <v>30</v>
      </c>
      <c r="G16">
        <v>0.95920000000000005</v>
      </c>
      <c r="H16">
        <v>276.10000000000002</v>
      </c>
      <c r="I16">
        <v>1</v>
      </c>
      <c r="J16">
        <v>500</v>
      </c>
      <c r="K16">
        <v>5</v>
      </c>
      <c r="L16">
        <v>24</v>
      </c>
      <c r="M16" s="1">
        <v>18.7</v>
      </c>
      <c r="N16" s="1">
        <v>10.588235294117647</v>
      </c>
      <c r="O16" s="1">
        <v>31.550802139037433</v>
      </c>
      <c r="P16" s="1">
        <v>24.064171122994654</v>
      </c>
    </row>
    <row r="17" spans="1:16" x14ac:dyDescent="0.45">
      <c r="A17">
        <v>0.63866771281335966</v>
      </c>
      <c r="B17" t="str">
        <f>VLOOKUP($D17,[1]lOOKUP!$M$3:$N$25,2,FALSE)</f>
        <v>Cu</v>
      </c>
      <c r="C17">
        <v>5</v>
      </c>
      <c r="D17">
        <v>3.49</v>
      </c>
      <c r="E17">
        <v>1.9</v>
      </c>
      <c r="F17">
        <v>30</v>
      </c>
      <c r="G17">
        <v>0.88200000000000001</v>
      </c>
      <c r="H17">
        <v>309.39999999999998</v>
      </c>
      <c r="I17">
        <v>1</v>
      </c>
      <c r="J17">
        <v>500</v>
      </c>
      <c r="K17">
        <v>5</v>
      </c>
      <c r="L17">
        <v>24</v>
      </c>
      <c r="M17" s="1">
        <v>39.5</v>
      </c>
      <c r="N17" s="1">
        <v>10.759493670886076</v>
      </c>
      <c r="O17" s="1">
        <v>32.151898734177216</v>
      </c>
      <c r="P17" s="1">
        <v>23.037974683544302</v>
      </c>
    </row>
    <row r="18" spans="1:16" x14ac:dyDescent="0.45">
      <c r="A18">
        <v>0.63866771281335966</v>
      </c>
      <c r="B18" t="str">
        <f>VLOOKUP($D18,[1]lOOKUP!$M$3:$N$25,2,FALSE)</f>
        <v>Fe</v>
      </c>
      <c r="C18">
        <v>5</v>
      </c>
      <c r="D18">
        <v>4.28</v>
      </c>
      <c r="E18">
        <v>1.83</v>
      </c>
      <c r="F18">
        <v>30</v>
      </c>
      <c r="G18">
        <v>0.88200000000000001</v>
      </c>
      <c r="H18">
        <v>302.7</v>
      </c>
      <c r="I18">
        <v>1</v>
      </c>
      <c r="J18">
        <v>500</v>
      </c>
      <c r="K18">
        <v>5</v>
      </c>
      <c r="L18">
        <v>24</v>
      </c>
      <c r="M18" s="1">
        <v>22.4</v>
      </c>
      <c r="N18" s="1">
        <v>9.1964285714285712</v>
      </c>
      <c r="O18" s="1">
        <v>27.8125</v>
      </c>
      <c r="P18" s="1">
        <v>23.214285714285715</v>
      </c>
    </row>
    <row r="19" spans="1:16" x14ac:dyDescent="0.45">
      <c r="A19">
        <v>0.63866771281335966</v>
      </c>
      <c r="B19" t="str">
        <f>VLOOKUP($D19,[1]lOOKUP!$M$3:$N$25,2,FALSE)</f>
        <v>Ga</v>
      </c>
      <c r="C19">
        <v>5</v>
      </c>
      <c r="D19">
        <v>2.81</v>
      </c>
      <c r="E19">
        <v>1.81</v>
      </c>
      <c r="F19">
        <v>30</v>
      </c>
      <c r="G19">
        <v>0.88200000000000001</v>
      </c>
      <c r="H19">
        <v>300.8</v>
      </c>
      <c r="I19">
        <v>1</v>
      </c>
      <c r="J19">
        <v>500</v>
      </c>
      <c r="K19">
        <v>5</v>
      </c>
      <c r="L19">
        <v>24</v>
      </c>
      <c r="M19" s="1">
        <v>33.5</v>
      </c>
      <c r="N19" s="1">
        <v>11.791044776119403</v>
      </c>
      <c r="O19" s="1">
        <v>34.179104477611943</v>
      </c>
      <c r="P19" s="1">
        <v>24.776119402985078</v>
      </c>
    </row>
    <row r="20" spans="1:16" x14ac:dyDescent="0.45">
      <c r="A20">
        <v>0.63866771281335966</v>
      </c>
      <c r="B20" t="str">
        <f>VLOOKUP($D20,[1]lOOKUP!$M$3:$N$25,2,FALSE)</f>
        <v>Mo</v>
      </c>
      <c r="C20">
        <v>5</v>
      </c>
      <c r="D20">
        <v>6.82</v>
      </c>
      <c r="E20">
        <v>2.16</v>
      </c>
      <c r="F20">
        <v>30</v>
      </c>
      <c r="G20">
        <v>0.23180000000000001</v>
      </c>
      <c r="H20">
        <v>254.1</v>
      </c>
      <c r="I20">
        <v>1</v>
      </c>
      <c r="J20">
        <v>500</v>
      </c>
      <c r="K20">
        <v>5</v>
      </c>
      <c r="L20">
        <v>24</v>
      </c>
      <c r="M20" s="1">
        <v>15.5</v>
      </c>
      <c r="N20" s="1">
        <v>9.2903225806451619</v>
      </c>
      <c r="O20" s="1">
        <v>27.870967741935484</v>
      </c>
      <c r="P20" s="1">
        <v>18.06451612903226</v>
      </c>
    </row>
    <row r="21" spans="1:16" x14ac:dyDescent="0.45">
      <c r="A21">
        <v>0.63866771281335966</v>
      </c>
      <c r="B21" t="str">
        <f>VLOOKUP($D21,[1]lOOKUP!$M$3:$N$25,2,FALSE)</f>
        <v>Ni</v>
      </c>
      <c r="C21">
        <v>5</v>
      </c>
      <c r="D21">
        <v>4.4400000000000004</v>
      </c>
      <c r="E21">
        <v>1.91</v>
      </c>
      <c r="F21">
        <v>30</v>
      </c>
      <c r="G21">
        <v>0.94079999999999997</v>
      </c>
      <c r="H21">
        <v>275</v>
      </c>
      <c r="I21">
        <v>1</v>
      </c>
      <c r="J21">
        <v>500</v>
      </c>
      <c r="K21">
        <v>5</v>
      </c>
      <c r="L21">
        <v>24</v>
      </c>
      <c r="M21" s="1">
        <v>29.51</v>
      </c>
      <c r="N21" s="1">
        <v>11.182649949169772</v>
      </c>
      <c r="O21" s="1">
        <v>33.785157573703835</v>
      </c>
      <c r="P21" s="1">
        <v>24.398508980006778</v>
      </c>
    </row>
    <row r="22" spans="1:16" x14ac:dyDescent="0.45">
      <c r="A22">
        <v>-0.21937948599212784</v>
      </c>
      <c r="B22" t="str">
        <f>VLOOKUP($D22,[1]lOOKUP!$M$3:$N$25,2,FALSE)</f>
        <v>Pd</v>
      </c>
      <c r="C22">
        <v>20</v>
      </c>
      <c r="D22">
        <v>3.89</v>
      </c>
      <c r="E22">
        <v>2.2000000000000002</v>
      </c>
      <c r="F22">
        <v>23</v>
      </c>
      <c r="G22">
        <v>0.39539999999999997</v>
      </c>
      <c r="H22">
        <v>425</v>
      </c>
      <c r="I22">
        <v>1</v>
      </c>
      <c r="J22">
        <v>650</v>
      </c>
      <c r="K22">
        <v>20</v>
      </c>
      <c r="L22">
        <v>3</v>
      </c>
      <c r="M22" s="1">
        <v>60.1</v>
      </c>
      <c r="N22" s="1">
        <v>19.118136439267886</v>
      </c>
      <c r="O22" s="1">
        <v>24.625623960066555</v>
      </c>
      <c r="P22" s="1">
        <v>17.088186356073212</v>
      </c>
    </row>
    <row r="23" spans="1:16" x14ac:dyDescent="0.45">
      <c r="A23">
        <v>6.4716673461068089E-2</v>
      </c>
      <c r="B23" t="str">
        <f>VLOOKUP($D23,[1]lOOKUP!$M$3:$N$25,2,FALSE)</f>
        <v>Na</v>
      </c>
      <c r="C23">
        <v>0.75</v>
      </c>
      <c r="D23">
        <v>1.1000000000000001</v>
      </c>
      <c r="E23">
        <v>0.93</v>
      </c>
      <c r="F23">
        <v>25.5</v>
      </c>
      <c r="G23">
        <v>0.3947</v>
      </c>
      <c r="H23">
        <v>400.5</v>
      </c>
      <c r="I23">
        <v>1</v>
      </c>
      <c r="J23">
        <v>650</v>
      </c>
      <c r="K23">
        <v>10</v>
      </c>
      <c r="L23">
        <v>6</v>
      </c>
      <c r="M23" s="1">
        <v>26.9</v>
      </c>
      <c r="N23" s="1">
        <v>13.3</v>
      </c>
      <c r="O23" s="1">
        <v>30.3</v>
      </c>
      <c r="P23" s="1">
        <v>22.2</v>
      </c>
    </row>
    <row r="24" spans="1:16" x14ac:dyDescent="0.45">
      <c r="A24">
        <v>6.4716673461068089E-2</v>
      </c>
      <c r="B24" t="str">
        <f>VLOOKUP($D24,[1]lOOKUP!$M$3:$N$25,2,FALSE)</f>
        <v>Na</v>
      </c>
      <c r="C24">
        <v>1.25</v>
      </c>
      <c r="D24">
        <v>1.1000000000000001</v>
      </c>
      <c r="E24">
        <v>0.93</v>
      </c>
      <c r="F24">
        <v>25</v>
      </c>
      <c r="G24">
        <v>0.35730000000000001</v>
      </c>
      <c r="H24">
        <v>376.9</v>
      </c>
      <c r="I24">
        <v>1</v>
      </c>
      <c r="J24">
        <v>650</v>
      </c>
      <c r="K24">
        <v>10</v>
      </c>
      <c r="L24">
        <v>6</v>
      </c>
      <c r="M24" s="1">
        <v>29</v>
      </c>
      <c r="N24" s="1">
        <v>12.1</v>
      </c>
      <c r="O24" s="1">
        <v>26.5</v>
      </c>
      <c r="P24" s="1">
        <v>24.5</v>
      </c>
    </row>
    <row r="25" spans="1:16" x14ac:dyDescent="0.45">
      <c r="A25">
        <v>6.4716673461068089E-2</v>
      </c>
      <c r="B25" t="str">
        <f>VLOOKUP($D25,[1]lOOKUP!$M$3:$N$25,2,FALSE)</f>
        <v>Na</v>
      </c>
      <c r="C25">
        <v>1.75</v>
      </c>
      <c r="D25">
        <v>1.1000000000000001</v>
      </c>
      <c r="E25">
        <v>0.93</v>
      </c>
      <c r="F25">
        <v>24</v>
      </c>
      <c r="G25">
        <v>0.32869999999999999</v>
      </c>
      <c r="H25">
        <v>363.1</v>
      </c>
      <c r="I25">
        <v>1</v>
      </c>
      <c r="J25">
        <v>650</v>
      </c>
      <c r="K25">
        <v>10</v>
      </c>
      <c r="L25">
        <v>6</v>
      </c>
      <c r="M25" s="1">
        <v>30.1</v>
      </c>
      <c r="N25" s="1">
        <v>12.2</v>
      </c>
      <c r="O25" s="1">
        <v>27.2</v>
      </c>
      <c r="P25" s="1">
        <v>25.8</v>
      </c>
    </row>
    <row r="26" spans="1:16" x14ac:dyDescent="0.45">
      <c r="A26">
        <v>6.4716673461068089E-2</v>
      </c>
      <c r="B26" t="str">
        <f>VLOOKUP($D26,[1]lOOKUP!$M$3:$N$25,2,FALSE)</f>
        <v>Na</v>
      </c>
      <c r="C26">
        <v>2.2000000000000002</v>
      </c>
      <c r="D26">
        <v>1.1000000000000001</v>
      </c>
      <c r="E26">
        <v>0.93</v>
      </c>
      <c r="F26">
        <v>21.6</v>
      </c>
      <c r="G26">
        <v>0.34350000000000003</v>
      </c>
      <c r="H26">
        <v>361.1</v>
      </c>
      <c r="I26">
        <v>1</v>
      </c>
      <c r="J26">
        <v>650</v>
      </c>
      <c r="K26">
        <v>10</v>
      </c>
      <c r="L26">
        <v>6</v>
      </c>
      <c r="M26" s="1">
        <v>28.6</v>
      </c>
      <c r="N26" s="1">
        <v>12.5</v>
      </c>
      <c r="O26" s="1">
        <v>27.5</v>
      </c>
      <c r="P26" s="1">
        <v>25.2</v>
      </c>
    </row>
    <row r="27" spans="1:16" x14ac:dyDescent="0.45">
      <c r="A27">
        <v>6.4716673461068089E-2</v>
      </c>
      <c r="B27" t="str">
        <f>VLOOKUP($D27,[1]lOOKUP!$M$3:$N$25,2,FALSE)</f>
        <v>Na</v>
      </c>
      <c r="C27">
        <v>2.5</v>
      </c>
      <c r="D27">
        <v>1.1000000000000001</v>
      </c>
      <c r="E27">
        <v>0.93</v>
      </c>
      <c r="F27">
        <v>21.1</v>
      </c>
      <c r="G27">
        <v>0.33239999999999997</v>
      </c>
      <c r="H27">
        <v>370.7</v>
      </c>
      <c r="I27">
        <v>1</v>
      </c>
      <c r="J27">
        <v>650</v>
      </c>
      <c r="K27">
        <v>10</v>
      </c>
      <c r="L27">
        <v>6</v>
      </c>
      <c r="M27" s="1">
        <v>26.2</v>
      </c>
      <c r="N27" s="1">
        <v>12.7</v>
      </c>
      <c r="O27" s="1">
        <v>29.8</v>
      </c>
      <c r="P27" s="1">
        <v>28.7</v>
      </c>
    </row>
    <row r="28" spans="1:16" x14ac:dyDescent="0.45">
      <c r="A28">
        <v>0.64326212412675943</v>
      </c>
      <c r="B28" t="str">
        <f>VLOOKUP($D28,[1]lOOKUP!$M$3:$N$25,2,FALSE)</f>
        <v>Fe</v>
      </c>
      <c r="C28">
        <v>1.4</v>
      </c>
      <c r="D28">
        <v>4.28</v>
      </c>
      <c r="E28">
        <v>1.83</v>
      </c>
      <c r="F28">
        <v>23</v>
      </c>
      <c r="G28">
        <v>1.0629999999999999</v>
      </c>
      <c r="H28">
        <v>280.10000000000002</v>
      </c>
      <c r="I28">
        <v>1</v>
      </c>
      <c r="J28">
        <v>500</v>
      </c>
      <c r="K28">
        <v>5</v>
      </c>
      <c r="L28">
        <v>24</v>
      </c>
      <c r="M28" s="1">
        <v>18.21</v>
      </c>
      <c r="N28" s="1">
        <v>13.71</v>
      </c>
      <c r="O28" s="1">
        <v>38.42</v>
      </c>
      <c r="P28" s="1">
        <v>14.79</v>
      </c>
    </row>
    <row r="29" spans="1:16" x14ac:dyDescent="0.45">
      <c r="A29">
        <v>0.64326212412675943</v>
      </c>
      <c r="B29" t="str">
        <f>VLOOKUP($D29,[1]lOOKUP!$M$3:$N$25,2,FALSE)</f>
        <v>Fe</v>
      </c>
      <c r="C29">
        <v>2.8</v>
      </c>
      <c r="D29">
        <v>4.28</v>
      </c>
      <c r="E29">
        <v>1.83</v>
      </c>
      <c r="F29">
        <v>23</v>
      </c>
      <c r="G29">
        <v>0.95799999999999996</v>
      </c>
      <c r="H29">
        <v>280.10000000000002</v>
      </c>
      <c r="I29">
        <v>1</v>
      </c>
      <c r="J29">
        <v>500</v>
      </c>
      <c r="K29">
        <v>5</v>
      </c>
      <c r="L29">
        <v>24</v>
      </c>
      <c r="M29" s="1">
        <v>15.48</v>
      </c>
      <c r="N29" s="1">
        <v>11.93</v>
      </c>
      <c r="O29" s="1">
        <v>39.25</v>
      </c>
      <c r="P29" s="1">
        <v>16.27</v>
      </c>
    </row>
    <row r="30" spans="1:16" x14ac:dyDescent="0.45">
      <c r="A30">
        <v>0.64326212412675943</v>
      </c>
      <c r="B30" t="str">
        <f>VLOOKUP($D30,[1]lOOKUP!$M$3:$N$25,2,FALSE)</f>
        <v>Fe</v>
      </c>
      <c r="C30">
        <v>4.2</v>
      </c>
      <c r="D30">
        <v>4.28</v>
      </c>
      <c r="E30">
        <v>1.83</v>
      </c>
      <c r="F30">
        <v>23</v>
      </c>
      <c r="G30">
        <v>0.94799999999999995</v>
      </c>
      <c r="H30">
        <v>280.10000000000002</v>
      </c>
      <c r="I30">
        <v>1</v>
      </c>
      <c r="J30">
        <v>500</v>
      </c>
      <c r="K30">
        <v>5</v>
      </c>
      <c r="L30">
        <v>24</v>
      </c>
      <c r="M30" s="1">
        <v>16.02</v>
      </c>
      <c r="N30" s="1">
        <v>11.84</v>
      </c>
      <c r="O30" s="1">
        <v>36.36</v>
      </c>
      <c r="P30" s="1">
        <v>12.28</v>
      </c>
    </row>
    <row r="31" spans="1:16" x14ac:dyDescent="0.45">
      <c r="A31">
        <v>0.19479931300583483</v>
      </c>
      <c r="B31" t="str">
        <f>VLOOKUP($D31,[1]lOOKUP!$M$3:$N$25,2,FALSE)</f>
        <v>Na</v>
      </c>
      <c r="C31">
        <v>2</v>
      </c>
      <c r="D31">
        <v>1.1000000000000001</v>
      </c>
      <c r="E31">
        <v>0.93</v>
      </c>
      <c r="F31">
        <v>46</v>
      </c>
      <c r="G31">
        <v>0.254</v>
      </c>
      <c r="H31">
        <v>418</v>
      </c>
      <c r="I31">
        <v>1</v>
      </c>
      <c r="J31">
        <v>500</v>
      </c>
      <c r="K31">
        <v>4</v>
      </c>
      <c r="L31">
        <v>30</v>
      </c>
      <c r="M31" s="1">
        <v>20.54</v>
      </c>
      <c r="N31" s="1">
        <v>13.97273612463486</v>
      </c>
      <c r="O31" s="1">
        <v>25.559883154819865</v>
      </c>
      <c r="P31" s="1">
        <v>21.03213242453749</v>
      </c>
    </row>
    <row r="32" spans="1:16" x14ac:dyDescent="0.45">
      <c r="A32">
        <v>0.19479931300583483</v>
      </c>
      <c r="B32" t="str">
        <f>VLOOKUP($D32,[1]lOOKUP!$M$3:$N$25,2,FALSE)</f>
        <v>Ni</v>
      </c>
      <c r="C32">
        <v>8</v>
      </c>
      <c r="D32">
        <v>4.4400000000000004</v>
      </c>
      <c r="E32">
        <v>1.91</v>
      </c>
      <c r="F32">
        <v>46</v>
      </c>
      <c r="G32">
        <v>0.85599999999999998</v>
      </c>
      <c r="H32">
        <v>350</v>
      </c>
      <c r="I32">
        <v>1</v>
      </c>
      <c r="J32">
        <v>500</v>
      </c>
      <c r="K32">
        <v>4</v>
      </c>
      <c r="L32">
        <v>30</v>
      </c>
      <c r="M32" s="1">
        <v>20.350000000000001</v>
      </c>
      <c r="N32" s="1">
        <v>22.014742014742016</v>
      </c>
      <c r="O32" s="1">
        <v>29.14004914004914</v>
      </c>
      <c r="P32" s="1">
        <v>23.832923832923829</v>
      </c>
    </row>
    <row r="33" spans="1:16" x14ac:dyDescent="0.45">
      <c r="A33">
        <v>5.5329564258136069E-3</v>
      </c>
      <c r="B33" t="str">
        <f>VLOOKUP($D33,[1]lOOKUP!$M$3:$N$25,2,FALSE)</f>
        <v>Na</v>
      </c>
      <c r="C33">
        <v>1</v>
      </c>
      <c r="D33">
        <v>1.1000000000000001</v>
      </c>
      <c r="E33">
        <v>0.93</v>
      </c>
      <c r="F33">
        <v>38</v>
      </c>
      <c r="G33">
        <v>0.55245999999999995</v>
      </c>
      <c r="H33">
        <v>379</v>
      </c>
      <c r="I33">
        <v>1</v>
      </c>
      <c r="J33">
        <v>559</v>
      </c>
      <c r="K33">
        <v>20</v>
      </c>
      <c r="L33">
        <v>6</v>
      </c>
      <c r="M33" s="1">
        <v>29.3</v>
      </c>
      <c r="N33" s="1">
        <v>15</v>
      </c>
      <c r="O33" s="1">
        <v>26</v>
      </c>
      <c r="P33" s="1">
        <v>17</v>
      </c>
    </row>
    <row r="34" spans="1:16" x14ac:dyDescent="0.45">
      <c r="A34">
        <v>5.5329564258136069E-3</v>
      </c>
      <c r="B34" t="str">
        <f>VLOOKUP($D34,[1]lOOKUP!$M$3:$N$25,2,FALSE)</f>
        <v>Na</v>
      </c>
      <c r="C34">
        <v>1.25</v>
      </c>
      <c r="D34">
        <v>1.1000000000000001</v>
      </c>
      <c r="E34">
        <v>0.93</v>
      </c>
      <c r="F34">
        <v>38</v>
      </c>
      <c r="G34">
        <v>0.41860000000000003</v>
      </c>
      <c r="H34">
        <v>333</v>
      </c>
      <c r="I34">
        <v>1</v>
      </c>
      <c r="J34">
        <v>559</v>
      </c>
      <c r="K34">
        <v>20</v>
      </c>
      <c r="L34">
        <v>6</v>
      </c>
      <c r="M34" s="1">
        <v>21.5</v>
      </c>
      <c r="N34" s="1">
        <v>13</v>
      </c>
      <c r="O34" s="1">
        <v>25</v>
      </c>
      <c r="P34" s="1">
        <v>15</v>
      </c>
    </row>
    <row r="35" spans="1:16" x14ac:dyDescent="0.45">
      <c r="A35">
        <v>5.5329564258136069E-3</v>
      </c>
      <c r="B35" t="str">
        <f>VLOOKUP($D35,[1]lOOKUP!$M$3:$N$25,2,FALSE)</f>
        <v>Na</v>
      </c>
      <c r="C35">
        <v>1.5</v>
      </c>
      <c r="D35">
        <v>1.1000000000000001</v>
      </c>
      <c r="E35">
        <v>0.93</v>
      </c>
      <c r="F35">
        <v>38</v>
      </c>
      <c r="G35">
        <v>0.20960000000000001</v>
      </c>
      <c r="H35">
        <v>147</v>
      </c>
      <c r="I35">
        <v>1</v>
      </c>
      <c r="J35">
        <v>559</v>
      </c>
      <c r="K35">
        <v>20</v>
      </c>
      <c r="L35">
        <v>6</v>
      </c>
      <c r="M35" s="1">
        <v>2.8</v>
      </c>
      <c r="N35" s="1">
        <v>18</v>
      </c>
      <c r="O35" s="1">
        <v>28</v>
      </c>
      <c r="P35" s="1">
        <v>18</v>
      </c>
    </row>
    <row r="36" spans="1:16" x14ac:dyDescent="0.45">
      <c r="A36">
        <v>5.5329564258136069E-3</v>
      </c>
      <c r="B36" t="str">
        <f>VLOOKUP($D36,[1]lOOKUP!$M$3:$N$25,2,FALSE)</f>
        <v>Na</v>
      </c>
      <c r="C36">
        <v>2</v>
      </c>
      <c r="D36">
        <v>1.1000000000000001</v>
      </c>
      <c r="E36">
        <v>0.93</v>
      </c>
      <c r="F36">
        <v>38</v>
      </c>
      <c r="G36">
        <v>0.20960000000000001</v>
      </c>
      <c r="H36">
        <v>80</v>
      </c>
      <c r="I36">
        <v>1</v>
      </c>
      <c r="J36">
        <v>559</v>
      </c>
      <c r="K36">
        <v>20</v>
      </c>
      <c r="L36">
        <v>6</v>
      </c>
      <c r="M36" s="1">
        <v>1.6</v>
      </c>
      <c r="N36" s="1">
        <v>13</v>
      </c>
      <c r="O36" s="1">
        <v>37</v>
      </c>
      <c r="P36" s="1">
        <v>24</v>
      </c>
    </row>
    <row r="37" spans="1:16" x14ac:dyDescent="0.45">
      <c r="A37">
        <v>7.6835897731462836E-5</v>
      </c>
      <c r="B37" t="str">
        <f>VLOOKUP($D37,[1]lOOKUP!$M$3:$N$25,2,FALSE)</f>
        <v>Zn</v>
      </c>
      <c r="C37">
        <v>3</v>
      </c>
      <c r="D37">
        <v>1.35</v>
      </c>
      <c r="E37">
        <v>1.65</v>
      </c>
      <c r="F37">
        <v>23</v>
      </c>
      <c r="G37">
        <v>1.022</v>
      </c>
      <c r="H37">
        <v>341.9</v>
      </c>
      <c r="I37">
        <v>1</v>
      </c>
      <c r="J37">
        <v>600</v>
      </c>
      <c r="K37">
        <v>5</v>
      </c>
      <c r="L37">
        <v>40</v>
      </c>
      <c r="M37" s="1">
        <v>7.98</v>
      </c>
      <c r="N37" s="1">
        <v>19.89</v>
      </c>
      <c r="O37" s="1">
        <v>31.74</v>
      </c>
      <c r="P37" s="1">
        <v>20.96</v>
      </c>
    </row>
    <row r="38" spans="1:16" x14ac:dyDescent="0.45">
      <c r="A38">
        <v>7.6835897731462836E-5</v>
      </c>
      <c r="B38" t="str">
        <f>VLOOKUP($D38,[1]lOOKUP!$M$3:$N$25,2,FALSE)</f>
        <v>Zn</v>
      </c>
      <c r="C38">
        <v>3</v>
      </c>
      <c r="D38">
        <v>1.35</v>
      </c>
      <c r="E38">
        <v>1.65</v>
      </c>
      <c r="F38">
        <v>23</v>
      </c>
      <c r="G38">
        <v>1.2403999999999999</v>
      </c>
      <c r="H38">
        <v>334.4</v>
      </c>
      <c r="I38">
        <v>1</v>
      </c>
      <c r="J38">
        <v>600</v>
      </c>
      <c r="K38">
        <v>5</v>
      </c>
      <c r="L38">
        <v>40</v>
      </c>
      <c r="M38" s="1">
        <v>8.4</v>
      </c>
      <c r="N38" s="1">
        <v>19.45</v>
      </c>
      <c r="O38" s="1">
        <v>32.880000000000003</v>
      </c>
      <c r="P38" s="1">
        <v>23.71</v>
      </c>
    </row>
    <row r="39" spans="1:16" x14ac:dyDescent="0.45">
      <c r="A39">
        <v>7.6835897731462836E-5</v>
      </c>
      <c r="B39" t="str">
        <f>VLOOKUP($D39,[1]lOOKUP!$M$3:$N$25,2,FALSE)</f>
        <v>Ni</v>
      </c>
      <c r="C39">
        <v>3</v>
      </c>
      <c r="D39">
        <v>4.4400000000000004</v>
      </c>
      <c r="E39">
        <v>1.91</v>
      </c>
      <c r="F39">
        <v>23</v>
      </c>
      <c r="G39">
        <v>0.64070000000000005</v>
      </c>
      <c r="H39">
        <v>358.6</v>
      </c>
      <c r="I39">
        <v>1</v>
      </c>
      <c r="J39">
        <v>600</v>
      </c>
      <c r="K39">
        <v>5</v>
      </c>
      <c r="L39">
        <v>40</v>
      </c>
      <c r="M39" s="1">
        <v>7.79</v>
      </c>
      <c r="N39" s="1">
        <v>19.399999999999999</v>
      </c>
      <c r="O39" s="1">
        <v>31.42</v>
      </c>
      <c r="P39" s="1">
        <v>17.57</v>
      </c>
    </row>
    <row r="40" spans="1:16" x14ac:dyDescent="0.45">
      <c r="A40">
        <v>7.6835897731462836E-5</v>
      </c>
      <c r="B40" t="str">
        <f>VLOOKUP($D40,[1]lOOKUP!$M$3:$N$25,2,FALSE)</f>
        <v>Ga</v>
      </c>
      <c r="C40">
        <v>3</v>
      </c>
      <c r="D40">
        <v>2.81</v>
      </c>
      <c r="E40">
        <v>1.81</v>
      </c>
      <c r="F40">
        <v>23</v>
      </c>
      <c r="G40">
        <v>0.39539999999999997</v>
      </c>
      <c r="H40">
        <v>421.1</v>
      </c>
      <c r="I40">
        <v>1</v>
      </c>
      <c r="J40">
        <v>600</v>
      </c>
      <c r="K40">
        <v>5</v>
      </c>
      <c r="L40">
        <v>40</v>
      </c>
      <c r="M40" s="1">
        <v>9.48</v>
      </c>
      <c r="N40" s="1">
        <v>18.21</v>
      </c>
      <c r="O40" s="1">
        <v>29.51</v>
      </c>
      <c r="P40" s="1">
        <v>23.49</v>
      </c>
    </row>
    <row r="41" spans="1:16" x14ac:dyDescent="0.45">
      <c r="A41">
        <v>7.6835897731462836E-5</v>
      </c>
      <c r="B41" t="str">
        <f>VLOOKUP($D41,[1]lOOKUP!$M$3:$N$25,2,FALSE)</f>
        <v>Ga</v>
      </c>
      <c r="C41">
        <v>7</v>
      </c>
      <c r="D41">
        <v>2.81</v>
      </c>
      <c r="E41">
        <v>1.81</v>
      </c>
      <c r="F41">
        <v>23</v>
      </c>
      <c r="G41">
        <v>0.80799999999999983</v>
      </c>
      <c r="H41">
        <v>356.6</v>
      </c>
      <c r="I41">
        <v>1</v>
      </c>
      <c r="J41">
        <v>600</v>
      </c>
      <c r="K41">
        <v>5</v>
      </c>
      <c r="L41">
        <v>40</v>
      </c>
      <c r="M41" s="1">
        <v>14.74</v>
      </c>
      <c r="N41" s="1">
        <v>17.38</v>
      </c>
      <c r="O41" s="1">
        <v>30.42</v>
      </c>
      <c r="P41" s="1">
        <v>27.6</v>
      </c>
    </row>
    <row r="42" spans="1:16" x14ac:dyDescent="0.45">
      <c r="A42">
        <v>7.6835897731462836E-5</v>
      </c>
      <c r="B42" t="s">
        <v>14</v>
      </c>
      <c r="C42">
        <v>6</v>
      </c>
      <c r="D42">
        <v>3.22</v>
      </c>
      <c r="E42">
        <v>1.84</v>
      </c>
      <c r="F42">
        <v>23</v>
      </c>
      <c r="G42">
        <v>0.23180000000000001</v>
      </c>
      <c r="H42">
        <v>234.4</v>
      </c>
      <c r="I42">
        <v>1</v>
      </c>
      <c r="J42">
        <v>600</v>
      </c>
      <c r="K42">
        <v>5</v>
      </c>
      <c r="L42">
        <v>40</v>
      </c>
      <c r="M42" s="1">
        <v>11.1</v>
      </c>
      <c r="N42" s="1">
        <v>15.36</v>
      </c>
      <c r="O42" s="1">
        <v>30.48</v>
      </c>
      <c r="P42" s="1">
        <v>27.22</v>
      </c>
    </row>
    <row r="43" spans="1:16" x14ac:dyDescent="0.45">
      <c r="A43">
        <v>7.6835897731462836E-5</v>
      </c>
      <c r="B43" t="s">
        <v>14</v>
      </c>
      <c r="C43">
        <v>5</v>
      </c>
      <c r="D43">
        <v>3.22</v>
      </c>
      <c r="E43">
        <v>1.84</v>
      </c>
      <c r="F43">
        <v>23</v>
      </c>
      <c r="G43">
        <v>1.9019999999999999</v>
      </c>
      <c r="H43">
        <v>328.3</v>
      </c>
      <c r="I43">
        <v>1</v>
      </c>
      <c r="J43">
        <v>600</v>
      </c>
      <c r="K43">
        <v>5</v>
      </c>
      <c r="L43">
        <v>40</v>
      </c>
      <c r="M43" s="1">
        <v>10.17</v>
      </c>
      <c r="N43" s="1">
        <v>15.93</v>
      </c>
      <c r="O43" s="1">
        <v>31.05</v>
      </c>
      <c r="P43" s="1">
        <v>26.87</v>
      </c>
    </row>
    <row r="44" spans="1:16" x14ac:dyDescent="0.45">
      <c r="A44">
        <v>7.6835897731462836E-5</v>
      </c>
      <c r="B44" t="str">
        <f>VLOOKUP($D44,[1]lOOKUP!$M$3:$N$25,2,FALSE)</f>
        <v>Zn</v>
      </c>
      <c r="C44">
        <v>3</v>
      </c>
      <c r="D44">
        <v>1.35</v>
      </c>
      <c r="E44">
        <v>1.65</v>
      </c>
      <c r="F44">
        <v>23</v>
      </c>
      <c r="G44">
        <v>0.74039999999999995</v>
      </c>
      <c r="H44">
        <v>341.9</v>
      </c>
      <c r="I44">
        <v>1</v>
      </c>
      <c r="J44">
        <v>600</v>
      </c>
      <c r="K44">
        <v>10</v>
      </c>
      <c r="L44">
        <v>20</v>
      </c>
      <c r="M44" s="1">
        <v>12.9</v>
      </c>
      <c r="N44" s="1">
        <v>21.71</v>
      </c>
      <c r="O44" s="1">
        <v>32.46</v>
      </c>
      <c r="P44" s="1">
        <v>20.51</v>
      </c>
    </row>
    <row r="45" spans="1:16" x14ac:dyDescent="0.45">
      <c r="A45">
        <v>7.6835897731462836E-5</v>
      </c>
      <c r="B45" t="str">
        <f>VLOOKUP($D45,[1]lOOKUP!$M$3:$N$25,2,FALSE)</f>
        <v>Zn</v>
      </c>
      <c r="C45">
        <v>3</v>
      </c>
      <c r="D45">
        <v>1.35</v>
      </c>
      <c r="E45">
        <v>1.65</v>
      </c>
      <c r="F45">
        <v>23</v>
      </c>
      <c r="G45">
        <v>1.2403999999999999</v>
      </c>
      <c r="H45">
        <v>334.4</v>
      </c>
      <c r="I45">
        <v>1</v>
      </c>
      <c r="J45">
        <v>600</v>
      </c>
      <c r="K45">
        <v>10</v>
      </c>
      <c r="L45">
        <v>20</v>
      </c>
      <c r="M45" s="1">
        <v>11.16</v>
      </c>
      <c r="N45" s="1">
        <v>21.21</v>
      </c>
      <c r="O45" s="1">
        <v>34.78</v>
      </c>
      <c r="P45" s="1">
        <v>21.96</v>
      </c>
    </row>
    <row r="46" spans="1:16" x14ac:dyDescent="0.45">
      <c r="A46">
        <v>7.6835897731462836E-5</v>
      </c>
      <c r="B46" t="str">
        <f>VLOOKUP($D46,[1]lOOKUP!$M$3:$N$25,2,FALSE)</f>
        <v>Ni</v>
      </c>
      <c r="C46">
        <v>3</v>
      </c>
      <c r="D46">
        <v>4.4400000000000004</v>
      </c>
      <c r="E46">
        <v>1.91</v>
      </c>
      <c r="F46">
        <v>23</v>
      </c>
      <c r="G46">
        <v>0.64070000000000005</v>
      </c>
      <c r="H46">
        <v>358.6</v>
      </c>
      <c r="I46">
        <v>1</v>
      </c>
      <c r="J46">
        <v>600</v>
      </c>
      <c r="K46">
        <v>10</v>
      </c>
      <c r="L46">
        <v>20</v>
      </c>
      <c r="M46" s="1">
        <v>10.83</v>
      </c>
      <c r="N46" s="1">
        <v>27.28</v>
      </c>
      <c r="O46" s="1">
        <v>25.87</v>
      </c>
      <c r="P46" s="1">
        <v>10.49</v>
      </c>
    </row>
    <row r="47" spans="1:16" x14ac:dyDescent="0.45">
      <c r="A47">
        <v>7.6835897731462836E-5</v>
      </c>
      <c r="B47" t="str">
        <f>VLOOKUP($D47,[1]lOOKUP!$M$3:$N$25,2,FALSE)</f>
        <v>Ga</v>
      </c>
      <c r="C47">
        <v>3</v>
      </c>
      <c r="D47">
        <v>2.81</v>
      </c>
      <c r="E47">
        <v>1.81</v>
      </c>
      <c r="F47">
        <v>23</v>
      </c>
      <c r="G47">
        <v>0.39539999999999997</v>
      </c>
      <c r="H47">
        <v>421.1</v>
      </c>
      <c r="I47">
        <v>1</v>
      </c>
      <c r="J47">
        <v>600</v>
      </c>
      <c r="K47">
        <v>10</v>
      </c>
      <c r="L47">
        <v>20</v>
      </c>
      <c r="M47" s="1">
        <v>12.36</v>
      </c>
      <c r="N47" s="1">
        <v>18.239999999999998</v>
      </c>
      <c r="O47" s="1">
        <v>26.16</v>
      </c>
      <c r="P47" s="1">
        <v>26</v>
      </c>
    </row>
    <row r="48" spans="1:16" x14ac:dyDescent="0.45">
      <c r="A48">
        <v>7.6835897731462836E-5</v>
      </c>
      <c r="B48" t="str">
        <f>VLOOKUP($D48,[1]lOOKUP!$M$3:$N$25,2,FALSE)</f>
        <v>Ga</v>
      </c>
      <c r="C48">
        <v>7</v>
      </c>
      <c r="D48">
        <v>2.81</v>
      </c>
      <c r="E48">
        <v>1.81</v>
      </c>
      <c r="F48">
        <v>23</v>
      </c>
      <c r="G48">
        <v>0.80799999999999983</v>
      </c>
      <c r="H48">
        <v>356.6</v>
      </c>
      <c r="I48">
        <v>1</v>
      </c>
      <c r="J48">
        <v>600</v>
      </c>
      <c r="K48">
        <v>10</v>
      </c>
      <c r="L48">
        <v>20</v>
      </c>
      <c r="M48" s="1">
        <v>19.93</v>
      </c>
      <c r="N48" s="1">
        <v>18.809999999999999</v>
      </c>
      <c r="O48" s="1">
        <v>27.9</v>
      </c>
      <c r="P48" s="1">
        <v>28.65</v>
      </c>
    </row>
    <row r="49" spans="1:16" x14ac:dyDescent="0.45">
      <c r="A49">
        <v>7.6835897731462836E-5</v>
      </c>
      <c r="B49" t="s">
        <v>14</v>
      </c>
      <c r="C49">
        <v>6</v>
      </c>
      <c r="D49">
        <v>3.22</v>
      </c>
      <c r="E49">
        <v>1.84</v>
      </c>
      <c r="F49">
        <v>23</v>
      </c>
      <c r="G49">
        <v>0.23180000000000001</v>
      </c>
      <c r="H49">
        <v>234.4</v>
      </c>
      <c r="I49">
        <v>1</v>
      </c>
      <c r="J49">
        <v>600</v>
      </c>
      <c r="K49">
        <v>10</v>
      </c>
      <c r="L49">
        <v>20</v>
      </c>
      <c r="M49" s="1">
        <v>13.65</v>
      </c>
      <c r="N49" s="1">
        <v>16.559999999999999</v>
      </c>
      <c r="O49" s="1">
        <v>29.75</v>
      </c>
      <c r="P49" s="1">
        <v>27.58</v>
      </c>
    </row>
    <row r="50" spans="1:16" x14ac:dyDescent="0.45">
      <c r="A50">
        <v>7.6835897731462836E-5</v>
      </c>
      <c r="B50" t="s">
        <v>14</v>
      </c>
      <c r="C50">
        <v>5</v>
      </c>
      <c r="D50">
        <v>3.22</v>
      </c>
      <c r="E50">
        <v>1.84</v>
      </c>
      <c r="F50">
        <v>23</v>
      </c>
      <c r="G50">
        <v>1.9019999999999999</v>
      </c>
      <c r="H50">
        <v>328.3</v>
      </c>
      <c r="I50">
        <v>1</v>
      </c>
      <c r="J50">
        <v>600</v>
      </c>
      <c r="K50">
        <v>10</v>
      </c>
      <c r="L50">
        <v>20</v>
      </c>
      <c r="M50" s="1">
        <v>12.45</v>
      </c>
      <c r="N50" s="1">
        <v>16.96</v>
      </c>
      <c r="O50" s="1">
        <v>30.4</v>
      </c>
      <c r="P50" s="1">
        <v>26.44</v>
      </c>
    </row>
    <row r="51" spans="1:16" x14ac:dyDescent="0.45">
      <c r="A51">
        <v>0.17208402909733017</v>
      </c>
      <c r="B51" t="str">
        <f>VLOOKUP($D51,[1]lOOKUP!$M$3:$N$25,2,FALSE)</f>
        <v>Sn</v>
      </c>
      <c r="C51">
        <v>1</v>
      </c>
      <c r="D51">
        <v>3.14</v>
      </c>
      <c r="E51">
        <v>1.96</v>
      </c>
      <c r="F51">
        <v>25</v>
      </c>
      <c r="G51">
        <v>0.3</v>
      </c>
      <c r="H51">
        <v>446.5</v>
      </c>
      <c r="I51">
        <v>2</v>
      </c>
      <c r="J51">
        <v>550</v>
      </c>
      <c r="K51">
        <v>1</v>
      </c>
      <c r="L51">
        <v>120</v>
      </c>
      <c r="M51" s="1">
        <v>35.200000000000003</v>
      </c>
      <c r="N51" s="1">
        <v>1.6245487364620939</v>
      </c>
      <c r="O51" s="1">
        <v>41.335740072202164</v>
      </c>
      <c r="P51" s="1">
        <v>56.101083032490976</v>
      </c>
    </row>
    <row r="52" spans="1:16" x14ac:dyDescent="0.45">
      <c r="A52">
        <v>0.17208402909733017</v>
      </c>
      <c r="B52" t="str">
        <f>VLOOKUP($D52,[1]lOOKUP!$M$3:$N$25,2,FALSE)</f>
        <v>Sn</v>
      </c>
      <c r="C52">
        <v>1</v>
      </c>
      <c r="D52">
        <v>3.14</v>
      </c>
      <c r="E52">
        <v>1.96</v>
      </c>
      <c r="F52">
        <v>25</v>
      </c>
      <c r="G52">
        <v>0.36</v>
      </c>
      <c r="H52">
        <v>408.7</v>
      </c>
      <c r="I52">
        <v>2</v>
      </c>
      <c r="J52">
        <v>550</v>
      </c>
      <c r="K52">
        <v>1</v>
      </c>
      <c r="L52">
        <v>120</v>
      </c>
      <c r="M52" s="1">
        <v>19.09</v>
      </c>
      <c r="N52" s="1">
        <v>5.3429602888086647</v>
      </c>
      <c r="O52" s="1">
        <v>22.56317689530686</v>
      </c>
      <c r="P52" s="1">
        <v>25.234657039711191</v>
      </c>
    </row>
    <row r="53" spans="1:16" x14ac:dyDescent="0.45">
      <c r="A53">
        <v>5.6159420289855044E-2</v>
      </c>
      <c r="B53" t="str">
        <f>VLOOKUP($D53,[1]lOOKUP!$M$3:$N$25,2,FALSE)</f>
        <v>Fe</v>
      </c>
      <c r="C53">
        <v>5</v>
      </c>
      <c r="D53">
        <v>4.28</v>
      </c>
      <c r="E53">
        <v>1.83</v>
      </c>
      <c r="F53">
        <v>17.3</v>
      </c>
      <c r="G53">
        <v>0.88200000000000001</v>
      </c>
      <c r="H53">
        <v>304</v>
      </c>
      <c r="I53">
        <v>2</v>
      </c>
      <c r="J53">
        <v>600</v>
      </c>
      <c r="K53">
        <v>1</v>
      </c>
      <c r="L53">
        <v>120</v>
      </c>
      <c r="M53" s="1">
        <v>12</v>
      </c>
      <c r="N53" s="1">
        <v>17.333333333333332</v>
      </c>
      <c r="O53" s="1">
        <v>24.416666666666668</v>
      </c>
      <c r="P53" s="1">
        <v>17.333333333333332</v>
      </c>
    </row>
    <row r="54" spans="1:16" x14ac:dyDescent="0.45">
      <c r="A54">
        <v>5.6159420289855044E-2</v>
      </c>
      <c r="B54" t="str">
        <f>VLOOKUP($D54,[1]lOOKUP!$M$3:$N$25,2,FALSE)</f>
        <v>Fe</v>
      </c>
      <c r="C54">
        <v>10</v>
      </c>
      <c r="D54">
        <v>4.28</v>
      </c>
      <c r="E54">
        <v>1.83</v>
      </c>
      <c r="F54">
        <v>17.3</v>
      </c>
      <c r="G54">
        <v>0.49659999999999999</v>
      </c>
      <c r="H54">
        <v>261</v>
      </c>
      <c r="I54">
        <v>2</v>
      </c>
      <c r="J54">
        <v>600</v>
      </c>
      <c r="K54">
        <v>5</v>
      </c>
      <c r="L54">
        <v>24</v>
      </c>
      <c r="M54" s="1">
        <v>39.18</v>
      </c>
      <c r="N54" s="1">
        <v>18.249106687085249</v>
      </c>
      <c r="O54" s="1">
        <v>29.37723328228688</v>
      </c>
      <c r="P54" s="1">
        <v>16.488004083716181</v>
      </c>
    </row>
    <row r="55" spans="1:16" x14ac:dyDescent="0.45">
      <c r="A55">
        <v>5.6159420289855044E-2</v>
      </c>
      <c r="B55" t="str">
        <f>VLOOKUP($D55,[1]lOOKUP!$M$3:$N$25,2,FALSE)</f>
        <v>Fe</v>
      </c>
      <c r="C55">
        <v>15</v>
      </c>
      <c r="D55">
        <v>4.28</v>
      </c>
      <c r="E55">
        <v>1.83</v>
      </c>
      <c r="F55">
        <v>17.3</v>
      </c>
      <c r="G55">
        <v>0.94080000000000008</v>
      </c>
      <c r="H55">
        <v>275</v>
      </c>
      <c r="I55">
        <v>2</v>
      </c>
      <c r="J55">
        <v>600</v>
      </c>
      <c r="K55">
        <v>10</v>
      </c>
      <c r="L55">
        <v>12</v>
      </c>
      <c r="M55" s="1">
        <v>61.24</v>
      </c>
      <c r="N55" s="1">
        <v>22.485303723056823</v>
      </c>
      <c r="O55" s="1">
        <v>30.682560418027432</v>
      </c>
      <c r="P55" s="1">
        <v>15.676028739386021</v>
      </c>
    </row>
    <row r="56" spans="1:16" x14ac:dyDescent="0.45">
      <c r="A56">
        <v>0.1998020214650412</v>
      </c>
      <c r="B56" t="str">
        <f>VLOOKUP($D56,[1]lOOKUP!$M$3:$N$25,2,FALSE)</f>
        <v>Co</v>
      </c>
      <c r="C56">
        <v>4.25</v>
      </c>
      <c r="D56">
        <v>4.3899999999999997</v>
      </c>
      <c r="E56">
        <v>1.88</v>
      </c>
      <c r="F56">
        <v>50</v>
      </c>
      <c r="G56">
        <v>1.0094000000000001</v>
      </c>
      <c r="H56">
        <v>291.60000000000002</v>
      </c>
      <c r="I56">
        <v>1</v>
      </c>
      <c r="J56">
        <v>650</v>
      </c>
      <c r="K56">
        <v>9</v>
      </c>
      <c r="L56">
        <v>4.4444444444444438</v>
      </c>
      <c r="M56" s="1">
        <v>39.799999999999997</v>
      </c>
      <c r="N56" s="1">
        <v>22.099447513812152</v>
      </c>
      <c r="O56" s="1">
        <v>30.662983425414364</v>
      </c>
      <c r="P56" s="1">
        <v>26.519337016574582</v>
      </c>
    </row>
    <row r="57" spans="1:16" x14ac:dyDescent="0.45">
      <c r="A57">
        <v>0.1998020214650412</v>
      </c>
      <c r="B57" t="s">
        <v>15</v>
      </c>
      <c r="C57">
        <v>4.3899999999999997</v>
      </c>
      <c r="D57">
        <v>3.26</v>
      </c>
      <c r="E57">
        <v>2.19</v>
      </c>
      <c r="F57">
        <v>50</v>
      </c>
      <c r="G57">
        <v>1.0094000000000001</v>
      </c>
      <c r="H57">
        <v>292</v>
      </c>
      <c r="I57">
        <v>1</v>
      </c>
      <c r="J57">
        <v>650</v>
      </c>
      <c r="K57">
        <v>9</v>
      </c>
      <c r="L57">
        <v>4.4444444444444438</v>
      </c>
      <c r="M57" s="1">
        <v>41.3</v>
      </c>
      <c r="N57" s="1">
        <v>20.44198895027624</v>
      </c>
      <c r="O57" s="1">
        <v>29.281767955801104</v>
      </c>
      <c r="P57" s="1">
        <v>27.624309392265189</v>
      </c>
    </row>
    <row r="58" spans="1:16" x14ac:dyDescent="0.45">
      <c r="A58">
        <v>0.1998020214650412</v>
      </c>
      <c r="B58" t="str">
        <f>VLOOKUP($D58,[1]lOOKUP!$M$3:$N$25,2,FALSE)</f>
        <v>Mo</v>
      </c>
      <c r="C58">
        <v>3.13</v>
      </c>
      <c r="D58">
        <v>6.82</v>
      </c>
      <c r="E58">
        <v>2.16</v>
      </c>
      <c r="F58">
        <v>50</v>
      </c>
      <c r="G58">
        <v>1.0094000000000001</v>
      </c>
      <c r="H58">
        <v>300.2</v>
      </c>
      <c r="I58">
        <v>1</v>
      </c>
      <c r="J58">
        <v>650</v>
      </c>
      <c r="K58">
        <v>9</v>
      </c>
      <c r="L58">
        <v>4.4444444444444438</v>
      </c>
      <c r="M58" s="1">
        <v>42.5</v>
      </c>
      <c r="N58" s="1">
        <v>17.679558011049721</v>
      </c>
      <c r="O58" s="1">
        <v>31.767955801104971</v>
      </c>
      <c r="P58" s="1">
        <v>30.386740331491712</v>
      </c>
    </row>
    <row r="59" spans="1:16" x14ac:dyDescent="0.45">
      <c r="A59">
        <v>0.1998020214650412</v>
      </c>
      <c r="B59" t="str">
        <f>VLOOKUP($D59,[1]lOOKUP!$M$3:$N$25,2,FALSE)</f>
        <v>La</v>
      </c>
      <c r="C59">
        <v>0.53</v>
      </c>
      <c r="D59">
        <v>4.47</v>
      </c>
      <c r="E59">
        <v>1.1000000000000001</v>
      </c>
      <c r="F59">
        <v>50</v>
      </c>
      <c r="G59">
        <v>1.0094000000000001</v>
      </c>
      <c r="H59">
        <v>296.43</v>
      </c>
      <c r="I59">
        <v>1</v>
      </c>
      <c r="J59">
        <v>650</v>
      </c>
      <c r="K59">
        <v>9</v>
      </c>
      <c r="L59">
        <v>4.4444444444444438</v>
      </c>
      <c r="M59" s="1">
        <v>46.4</v>
      </c>
      <c r="N59" s="1">
        <v>18.508287292817677</v>
      </c>
      <c r="O59" s="1">
        <v>33.149171270718227</v>
      </c>
      <c r="P59" s="1">
        <v>32.872928176795575</v>
      </c>
    </row>
    <row r="60" spans="1:16" x14ac:dyDescent="0.45">
      <c r="A60">
        <v>7.0236047987552744E-2</v>
      </c>
      <c r="B60" t="str">
        <f>VLOOKUP($D60,[1]lOOKUP!$M$3:$N$25,2,FALSE)</f>
        <v>Mo</v>
      </c>
      <c r="C60">
        <v>0.25</v>
      </c>
      <c r="D60">
        <v>6.82</v>
      </c>
      <c r="E60">
        <v>2.16</v>
      </c>
      <c r="F60">
        <v>25</v>
      </c>
      <c r="G60">
        <v>0.66</v>
      </c>
      <c r="H60">
        <v>313</v>
      </c>
      <c r="I60">
        <v>2</v>
      </c>
      <c r="J60">
        <v>550</v>
      </c>
      <c r="K60">
        <v>4</v>
      </c>
      <c r="L60">
        <v>4</v>
      </c>
      <c r="M60" s="1">
        <v>16</v>
      </c>
      <c r="N60" s="1">
        <v>27.437499999999996</v>
      </c>
      <c r="O60" s="1">
        <v>44</v>
      </c>
      <c r="P60" s="1">
        <v>10.3125</v>
      </c>
    </row>
    <row r="61" spans="1:16" x14ac:dyDescent="0.45">
      <c r="A61">
        <v>7.0236047987552744E-2</v>
      </c>
      <c r="B61" t="str">
        <f>VLOOKUP($D61,[1]lOOKUP!$M$3:$N$25,2,FALSE)</f>
        <v>Mo</v>
      </c>
      <c r="C61">
        <v>0.5</v>
      </c>
      <c r="D61">
        <v>6.82</v>
      </c>
      <c r="E61">
        <v>2.16</v>
      </c>
      <c r="F61">
        <v>25</v>
      </c>
      <c r="G61">
        <v>0.66</v>
      </c>
      <c r="H61">
        <v>313</v>
      </c>
      <c r="I61">
        <v>2</v>
      </c>
      <c r="J61">
        <v>550</v>
      </c>
      <c r="K61">
        <v>4</v>
      </c>
      <c r="L61">
        <v>4</v>
      </c>
      <c r="M61" s="1">
        <v>17.5</v>
      </c>
      <c r="N61" s="1">
        <v>22</v>
      </c>
      <c r="O61" s="1">
        <v>37.085714285714289</v>
      </c>
      <c r="P61" s="1">
        <v>10.342857142857143</v>
      </c>
    </row>
    <row r="62" spans="1:16" x14ac:dyDescent="0.45">
      <c r="A62">
        <v>7.0236047987552744E-2</v>
      </c>
      <c r="B62" t="str">
        <f>VLOOKUP($D62,[1]lOOKUP!$M$3:$N$25,2,FALSE)</f>
        <v>Mo</v>
      </c>
      <c r="C62">
        <v>1</v>
      </c>
      <c r="D62">
        <v>6.82</v>
      </c>
      <c r="E62">
        <v>2.16</v>
      </c>
      <c r="F62">
        <v>25</v>
      </c>
      <c r="G62">
        <v>0.66</v>
      </c>
      <c r="H62">
        <v>313</v>
      </c>
      <c r="I62">
        <v>2</v>
      </c>
      <c r="J62">
        <v>550</v>
      </c>
      <c r="K62">
        <v>4</v>
      </c>
      <c r="L62">
        <v>4</v>
      </c>
      <c r="M62" s="1">
        <v>16.399999999999999</v>
      </c>
      <c r="N62" s="1">
        <v>27.500000000000004</v>
      </c>
      <c r="O62" s="1">
        <v>38.841463414634148</v>
      </c>
      <c r="P62" s="1">
        <v>8.4756097560975618</v>
      </c>
    </row>
    <row r="63" spans="1:16" x14ac:dyDescent="0.45">
      <c r="A63">
        <v>7.0236047987552744E-2</v>
      </c>
      <c r="B63" t="str">
        <f>VLOOKUP($D63,[1]lOOKUP!$M$3:$N$25,2,FALSE)</f>
        <v>Mo</v>
      </c>
      <c r="C63">
        <v>2</v>
      </c>
      <c r="D63">
        <v>6.82</v>
      </c>
      <c r="E63">
        <v>2.16</v>
      </c>
      <c r="F63">
        <v>25</v>
      </c>
      <c r="G63">
        <v>0.66</v>
      </c>
      <c r="H63">
        <v>313</v>
      </c>
      <c r="I63">
        <v>2</v>
      </c>
      <c r="J63">
        <v>550</v>
      </c>
      <c r="K63">
        <v>4</v>
      </c>
      <c r="L63">
        <v>4</v>
      </c>
      <c r="M63" s="1">
        <v>16</v>
      </c>
      <c r="N63" s="1">
        <v>29.5</v>
      </c>
      <c r="O63" s="1">
        <v>37.75</v>
      </c>
      <c r="P63" s="1">
        <v>7.3125</v>
      </c>
    </row>
    <row r="64" spans="1:16" x14ac:dyDescent="0.45">
      <c r="A64">
        <v>0.18348192397362381</v>
      </c>
      <c r="B64" t="str">
        <f>VLOOKUP($D64,[1]lOOKUP!$M$3:$N$25,2,FALSE)</f>
        <v>Ni</v>
      </c>
      <c r="C64">
        <v>10</v>
      </c>
      <c r="D64">
        <v>4.4400000000000004</v>
      </c>
      <c r="E64">
        <v>1.91</v>
      </c>
      <c r="F64">
        <v>80</v>
      </c>
      <c r="G64">
        <v>0.79</v>
      </c>
      <c r="H64">
        <v>274.24</v>
      </c>
      <c r="I64">
        <v>2</v>
      </c>
      <c r="J64">
        <v>500</v>
      </c>
      <c r="K64">
        <v>0.1</v>
      </c>
      <c r="L64">
        <v>60</v>
      </c>
      <c r="M64" s="1">
        <v>3.5</v>
      </c>
      <c r="N64" s="1">
        <v>14.285714285714279</v>
      </c>
      <c r="O64" s="1">
        <v>28.571428571428569</v>
      </c>
      <c r="P64" s="1">
        <v>28.571428571428569</v>
      </c>
    </row>
    <row r="65" spans="1:16" x14ac:dyDescent="0.45">
      <c r="A65">
        <v>0.18348192397362381</v>
      </c>
      <c r="B65" t="s">
        <v>14</v>
      </c>
      <c r="C65">
        <v>10</v>
      </c>
      <c r="D65">
        <v>4.42</v>
      </c>
      <c r="E65">
        <v>1.9</v>
      </c>
      <c r="F65">
        <v>80</v>
      </c>
      <c r="G65">
        <v>0.79</v>
      </c>
      <c r="H65">
        <v>263.04000000000002</v>
      </c>
      <c r="I65">
        <v>2</v>
      </c>
      <c r="J65">
        <v>500</v>
      </c>
      <c r="K65">
        <v>0.1</v>
      </c>
      <c r="L65">
        <v>60</v>
      </c>
      <c r="M65" s="1">
        <v>6</v>
      </c>
      <c r="N65" s="1">
        <v>20</v>
      </c>
      <c r="O65" s="1">
        <v>24</v>
      </c>
      <c r="P65" s="1">
        <v>30</v>
      </c>
    </row>
    <row r="66" spans="1:16" x14ac:dyDescent="0.45">
      <c r="A66">
        <v>0.18348192397362381</v>
      </c>
      <c r="B66" t="str">
        <f>VLOOKUP($D66,[1]lOOKUP!$M$3:$N$25,2,FALSE)</f>
        <v>Ni</v>
      </c>
      <c r="C66">
        <v>10</v>
      </c>
      <c r="D66">
        <v>4.4400000000000004</v>
      </c>
      <c r="E66">
        <v>1.91</v>
      </c>
      <c r="F66">
        <v>80</v>
      </c>
      <c r="G66">
        <v>0.79</v>
      </c>
      <c r="H66">
        <v>274.24</v>
      </c>
      <c r="I66">
        <v>2</v>
      </c>
      <c r="J66">
        <v>600</v>
      </c>
      <c r="K66">
        <v>0.1</v>
      </c>
      <c r="L66">
        <v>60</v>
      </c>
      <c r="M66" s="1">
        <v>8.5</v>
      </c>
      <c r="N66" s="1">
        <v>17.647058823529409</v>
      </c>
      <c r="O66" s="1">
        <v>23.52941176470588</v>
      </c>
      <c r="P66" s="1">
        <v>29.411764705882348</v>
      </c>
    </row>
    <row r="67" spans="1:16" x14ac:dyDescent="0.45">
      <c r="A67">
        <v>0.18348192397362381</v>
      </c>
      <c r="B67" t="s">
        <v>14</v>
      </c>
      <c r="C67">
        <v>10</v>
      </c>
      <c r="D67">
        <v>4.42</v>
      </c>
      <c r="E67">
        <v>1.9</v>
      </c>
      <c r="F67">
        <v>80</v>
      </c>
      <c r="G67">
        <v>0.79</v>
      </c>
      <c r="H67">
        <v>263.04000000000002</v>
      </c>
      <c r="I67">
        <v>2</v>
      </c>
      <c r="J67">
        <v>600</v>
      </c>
      <c r="K67">
        <v>0.1</v>
      </c>
      <c r="L67">
        <v>60</v>
      </c>
      <c r="M67" s="1">
        <v>10.4</v>
      </c>
      <c r="N67" s="1">
        <v>19.23076923076923</v>
      </c>
      <c r="O67" s="1">
        <v>22.11538461538461</v>
      </c>
      <c r="P67" s="1">
        <v>28.84615384615384</v>
      </c>
    </row>
    <row r="68" spans="1:16" x14ac:dyDescent="0.45">
      <c r="A68">
        <v>0.18348192397362381</v>
      </c>
      <c r="B68" t="str">
        <f>VLOOKUP($D68,[1]lOOKUP!$M$3:$N$25,2,FALSE)</f>
        <v>Ni</v>
      </c>
      <c r="C68">
        <v>10</v>
      </c>
      <c r="D68">
        <v>4.4400000000000004</v>
      </c>
      <c r="E68">
        <v>1.91</v>
      </c>
      <c r="F68">
        <v>80</v>
      </c>
      <c r="G68">
        <v>0.79</v>
      </c>
      <c r="H68">
        <v>274.24</v>
      </c>
      <c r="I68">
        <v>2</v>
      </c>
      <c r="J68">
        <v>700</v>
      </c>
      <c r="K68">
        <v>0.1</v>
      </c>
      <c r="L68">
        <v>60</v>
      </c>
      <c r="M68" s="1">
        <v>11.7</v>
      </c>
      <c r="N68" s="1">
        <v>21.36752136752137</v>
      </c>
      <c r="O68" s="1">
        <v>21.36752136752137</v>
      </c>
      <c r="P68" s="1">
        <v>25.641025641025639</v>
      </c>
    </row>
    <row r="69" spans="1:16" x14ac:dyDescent="0.45">
      <c r="A69">
        <v>0.18348192397362381</v>
      </c>
      <c r="B69" t="s">
        <v>14</v>
      </c>
      <c r="C69">
        <v>10</v>
      </c>
      <c r="D69">
        <v>4.42</v>
      </c>
      <c r="E69">
        <v>1.9</v>
      </c>
      <c r="F69">
        <v>80</v>
      </c>
      <c r="G69">
        <v>0.79</v>
      </c>
      <c r="H69">
        <v>263.04000000000002</v>
      </c>
      <c r="I69">
        <v>2</v>
      </c>
      <c r="J69">
        <v>700</v>
      </c>
      <c r="K69">
        <v>0.1</v>
      </c>
      <c r="L69">
        <v>60</v>
      </c>
      <c r="M69" s="1">
        <v>13.4</v>
      </c>
      <c r="N69" s="1">
        <v>22.388059701492541</v>
      </c>
      <c r="O69" s="1">
        <v>20.8955223880597</v>
      </c>
      <c r="P69" s="1">
        <v>24.626865671641792</v>
      </c>
    </row>
    <row r="70" spans="1:16" x14ac:dyDescent="0.45">
      <c r="A70">
        <v>0.18348192397362381</v>
      </c>
      <c r="B70" t="str">
        <f>VLOOKUP($D70,[1]lOOKUP!$M$3:$N$25,2,FALSE)</f>
        <v>Ni</v>
      </c>
      <c r="C70">
        <v>10</v>
      </c>
      <c r="D70">
        <v>4.4400000000000004</v>
      </c>
      <c r="E70">
        <v>1.91</v>
      </c>
      <c r="F70">
        <v>80</v>
      </c>
      <c r="G70">
        <v>0.79</v>
      </c>
      <c r="H70">
        <v>274.24</v>
      </c>
      <c r="I70">
        <v>2</v>
      </c>
      <c r="J70">
        <v>800</v>
      </c>
      <c r="K70">
        <v>0.1</v>
      </c>
      <c r="L70">
        <v>60</v>
      </c>
      <c r="M70" s="1">
        <v>15.2</v>
      </c>
      <c r="N70" s="1">
        <v>20.68965517241379</v>
      </c>
      <c r="O70" s="1">
        <v>20.68965517241379</v>
      </c>
      <c r="P70" s="1">
        <v>24.137931034482758</v>
      </c>
    </row>
    <row r="71" spans="1:16" x14ac:dyDescent="0.45">
      <c r="A71">
        <v>0.18348192397362381</v>
      </c>
      <c r="B71" t="s">
        <v>14</v>
      </c>
      <c r="C71">
        <v>10</v>
      </c>
      <c r="D71">
        <v>4.42</v>
      </c>
      <c r="E71">
        <v>1.9</v>
      </c>
      <c r="F71">
        <v>80</v>
      </c>
      <c r="G71">
        <v>0.79</v>
      </c>
      <c r="H71">
        <v>263.04000000000002</v>
      </c>
      <c r="I71">
        <v>2</v>
      </c>
      <c r="J71">
        <v>800</v>
      </c>
      <c r="K71">
        <v>0.1</v>
      </c>
      <c r="L71">
        <v>60</v>
      </c>
      <c r="M71" s="1">
        <v>15.4</v>
      </c>
      <c r="N71" s="1">
        <v>20.64516129032258</v>
      </c>
      <c r="O71" s="1">
        <v>20</v>
      </c>
      <c r="P71" s="1">
        <v>23.2258064516129</v>
      </c>
    </row>
    <row r="72" spans="1:16" x14ac:dyDescent="0.45">
      <c r="A72">
        <v>0.87049664734628907</v>
      </c>
      <c r="B72" t="str">
        <f>VLOOKUP($D72,[1]lOOKUP!$M$3:$N$25,2,FALSE)</f>
        <v>Ce</v>
      </c>
      <c r="C72">
        <v>0.5</v>
      </c>
      <c r="D72">
        <v>4.32</v>
      </c>
      <c r="E72">
        <v>1.1200000000000001</v>
      </c>
      <c r="F72">
        <v>24</v>
      </c>
      <c r="G72">
        <v>0.85</v>
      </c>
      <c r="H72">
        <v>385</v>
      </c>
      <c r="I72">
        <v>2</v>
      </c>
      <c r="J72">
        <v>500</v>
      </c>
      <c r="K72">
        <v>2.75</v>
      </c>
      <c r="L72">
        <v>1.0909090909090908</v>
      </c>
      <c r="M72" s="1">
        <v>27.1</v>
      </c>
      <c r="N72" s="1">
        <v>13</v>
      </c>
      <c r="O72" s="1">
        <v>24</v>
      </c>
      <c r="P72" s="1">
        <v>17</v>
      </c>
    </row>
    <row r="73" spans="1:16" x14ac:dyDescent="0.45">
      <c r="A73">
        <v>0.87049664734628907</v>
      </c>
      <c r="B73" t="str">
        <f>VLOOKUP($D73,[1]lOOKUP!$M$3:$N$25,2,FALSE)</f>
        <v>Ce</v>
      </c>
      <c r="C73">
        <v>1</v>
      </c>
      <c r="D73">
        <v>4.32</v>
      </c>
      <c r="E73">
        <v>1.1200000000000001</v>
      </c>
      <c r="F73">
        <v>24</v>
      </c>
      <c r="G73">
        <v>0.43</v>
      </c>
      <c r="H73">
        <v>381</v>
      </c>
      <c r="I73">
        <v>2</v>
      </c>
      <c r="J73">
        <v>500</v>
      </c>
      <c r="K73">
        <v>2.75</v>
      </c>
      <c r="L73">
        <v>1.0909090909090908</v>
      </c>
      <c r="M73" s="1">
        <v>30.6</v>
      </c>
      <c r="N73" s="1">
        <v>17</v>
      </c>
      <c r="O73" s="1">
        <v>33</v>
      </c>
      <c r="P73" s="1">
        <v>20</v>
      </c>
    </row>
    <row r="74" spans="1:16" x14ac:dyDescent="0.45">
      <c r="A74">
        <v>0.87049664734628907</v>
      </c>
      <c r="B74" t="str">
        <f>VLOOKUP($D74,[1]lOOKUP!$M$3:$N$25,2,FALSE)</f>
        <v>Ce</v>
      </c>
      <c r="C74">
        <v>1.5</v>
      </c>
      <c r="D74">
        <v>4.32</v>
      </c>
      <c r="E74">
        <v>1.1200000000000001</v>
      </c>
      <c r="F74">
        <v>24</v>
      </c>
      <c r="G74">
        <v>2.9220000000000002</v>
      </c>
      <c r="H74">
        <v>389</v>
      </c>
      <c r="I74">
        <v>2</v>
      </c>
      <c r="J74">
        <v>500</v>
      </c>
      <c r="K74">
        <v>2.75</v>
      </c>
      <c r="L74">
        <v>1.0909090909090908</v>
      </c>
      <c r="M74" s="1">
        <v>27.8</v>
      </c>
      <c r="N74" s="1">
        <v>15</v>
      </c>
      <c r="O74" s="1">
        <v>30</v>
      </c>
      <c r="P74" s="1">
        <v>22</v>
      </c>
    </row>
    <row r="75" spans="1:16" x14ac:dyDescent="0.45">
      <c r="A75">
        <v>0.87049664734628907</v>
      </c>
      <c r="B75" t="str">
        <f>VLOOKUP($D75,[1]lOOKUP!$M$3:$N$25,2,FALSE)</f>
        <v>Ce</v>
      </c>
      <c r="C75">
        <v>2</v>
      </c>
      <c r="D75">
        <v>4.32</v>
      </c>
      <c r="E75">
        <v>1.1200000000000001</v>
      </c>
      <c r="F75">
        <v>24</v>
      </c>
      <c r="G75">
        <v>0.36</v>
      </c>
      <c r="H75">
        <v>392</v>
      </c>
      <c r="I75">
        <v>2</v>
      </c>
      <c r="J75">
        <v>500</v>
      </c>
      <c r="K75">
        <v>2.75</v>
      </c>
      <c r="L75">
        <v>1.0909090909090908</v>
      </c>
      <c r="M75" s="1">
        <v>24.5</v>
      </c>
      <c r="N75" s="1">
        <v>11</v>
      </c>
      <c r="O75" s="1">
        <v>21</v>
      </c>
      <c r="P75" s="1">
        <v>16</v>
      </c>
    </row>
    <row r="76" spans="1:16" x14ac:dyDescent="0.45">
      <c r="A76">
        <v>-5.6640047323277326E-3</v>
      </c>
      <c r="B76" t="str">
        <f>VLOOKUP($D76,[1]lOOKUP!$M$3:$N$25,2,FALSE)</f>
        <v>Fe</v>
      </c>
      <c r="C76">
        <v>1</v>
      </c>
      <c r="D76">
        <v>4.28</v>
      </c>
      <c r="E76">
        <v>1.83</v>
      </c>
      <c r="F76">
        <v>25</v>
      </c>
      <c r="G76">
        <v>0.64</v>
      </c>
      <c r="H76">
        <v>361.4</v>
      </c>
      <c r="I76">
        <v>2</v>
      </c>
      <c r="J76">
        <v>600</v>
      </c>
      <c r="K76">
        <v>2</v>
      </c>
      <c r="L76">
        <v>1</v>
      </c>
      <c r="M76" s="1">
        <v>8.3000000000000007</v>
      </c>
      <c r="N76" s="1">
        <v>5.6</v>
      </c>
      <c r="O76" s="1">
        <v>16.8</v>
      </c>
      <c r="P76" s="1">
        <v>21.8</v>
      </c>
    </row>
    <row r="77" spans="1:16" x14ac:dyDescent="0.45">
      <c r="A77">
        <v>-5.6640047323277326E-3</v>
      </c>
      <c r="B77" t="str">
        <f>VLOOKUP($D77,[1]lOOKUP!$M$3:$N$25,2,FALSE)</f>
        <v>Fe</v>
      </c>
      <c r="C77">
        <v>3</v>
      </c>
      <c r="D77">
        <v>4.28</v>
      </c>
      <c r="E77">
        <v>1.83</v>
      </c>
      <c r="F77">
        <v>25</v>
      </c>
      <c r="G77">
        <v>0.66</v>
      </c>
      <c r="H77">
        <v>356.9</v>
      </c>
      <c r="I77">
        <v>2</v>
      </c>
      <c r="J77">
        <v>600</v>
      </c>
      <c r="K77">
        <v>2</v>
      </c>
      <c r="L77">
        <v>1</v>
      </c>
      <c r="M77" s="1">
        <v>8.8000000000000007</v>
      </c>
      <c r="N77" s="1">
        <v>5.0999999999999996</v>
      </c>
      <c r="O77" s="1">
        <v>20.7</v>
      </c>
      <c r="P77" s="1">
        <v>19.5</v>
      </c>
    </row>
    <row r="78" spans="1:16" x14ac:dyDescent="0.45">
      <c r="A78">
        <v>-5.6640047323277326E-3</v>
      </c>
      <c r="B78" t="str">
        <f>VLOOKUP($D78,[1]lOOKUP!$M$3:$N$25,2,FALSE)</f>
        <v>Fe</v>
      </c>
      <c r="C78">
        <v>6</v>
      </c>
      <c r="D78">
        <v>4.28</v>
      </c>
      <c r="E78">
        <v>1.83</v>
      </c>
      <c r="F78">
        <v>25</v>
      </c>
      <c r="G78">
        <v>0.7</v>
      </c>
      <c r="H78">
        <v>357.4</v>
      </c>
      <c r="I78">
        <v>2</v>
      </c>
      <c r="J78">
        <v>600</v>
      </c>
      <c r="K78">
        <v>2</v>
      </c>
      <c r="L78">
        <v>1</v>
      </c>
      <c r="M78" s="1">
        <v>9</v>
      </c>
      <c r="N78" s="1">
        <v>4.8</v>
      </c>
      <c r="O78" s="1">
        <v>23</v>
      </c>
      <c r="P78" s="1">
        <v>20.2</v>
      </c>
    </row>
    <row r="79" spans="1:16" x14ac:dyDescent="0.45">
      <c r="A79">
        <v>-5.6640047323277326E-3</v>
      </c>
      <c r="B79" t="str">
        <f>VLOOKUP($D79,[1]lOOKUP!$M$3:$N$25,2,FALSE)</f>
        <v>Fe</v>
      </c>
      <c r="C79">
        <v>9</v>
      </c>
      <c r="D79">
        <v>4.28</v>
      </c>
      <c r="E79">
        <v>1.83</v>
      </c>
      <c r="F79">
        <v>25</v>
      </c>
      <c r="G79">
        <v>0.59</v>
      </c>
      <c r="H79">
        <v>372.1</v>
      </c>
      <c r="I79">
        <v>2</v>
      </c>
      <c r="J79">
        <v>600</v>
      </c>
      <c r="K79">
        <v>2</v>
      </c>
      <c r="L79">
        <v>1</v>
      </c>
      <c r="M79" s="1">
        <v>8.6</v>
      </c>
      <c r="N79" s="1">
        <v>5.4</v>
      </c>
      <c r="O79" s="1">
        <v>17.5</v>
      </c>
      <c r="P79" s="1">
        <v>21.8</v>
      </c>
    </row>
    <row r="80" spans="1:16" x14ac:dyDescent="0.45">
      <c r="A80">
        <v>0.19479931300583483</v>
      </c>
      <c r="B80" t="str">
        <f>VLOOKUP($D80,[1]lOOKUP!$M$3:$N$25,2,FALSE)</f>
        <v>Ni</v>
      </c>
      <c r="C80">
        <v>0.1</v>
      </c>
      <c r="D80">
        <v>4.4400000000000004</v>
      </c>
      <c r="E80">
        <v>1.91</v>
      </c>
      <c r="F80">
        <v>38</v>
      </c>
      <c r="G80">
        <v>0.104</v>
      </c>
      <c r="H80">
        <v>354</v>
      </c>
      <c r="I80">
        <v>1</v>
      </c>
      <c r="J80">
        <v>600</v>
      </c>
      <c r="K80">
        <v>20</v>
      </c>
      <c r="L80">
        <v>6</v>
      </c>
      <c r="M80" s="1">
        <v>28.05</v>
      </c>
      <c r="N80" s="1">
        <v>12</v>
      </c>
      <c r="O80" s="1">
        <v>25.8</v>
      </c>
      <c r="P80" s="1">
        <v>18.2</v>
      </c>
    </row>
    <row r="81" spans="1:16" x14ac:dyDescent="0.45">
      <c r="A81">
        <v>0.19479931300583483</v>
      </c>
      <c r="B81" t="str">
        <f>VLOOKUP($D81,[1]lOOKUP!$M$3:$N$25,2,FALSE)</f>
        <v>Cu</v>
      </c>
      <c r="C81">
        <v>0.1</v>
      </c>
      <c r="D81">
        <v>3.49</v>
      </c>
      <c r="E81">
        <v>1.9</v>
      </c>
      <c r="F81">
        <v>38</v>
      </c>
      <c r="G81">
        <v>0.104</v>
      </c>
      <c r="H81">
        <v>354</v>
      </c>
      <c r="I81">
        <v>1</v>
      </c>
      <c r="J81">
        <v>600</v>
      </c>
      <c r="K81">
        <v>20</v>
      </c>
      <c r="L81">
        <v>6</v>
      </c>
      <c r="M81" s="1">
        <v>29.23</v>
      </c>
      <c r="N81" s="1">
        <v>11.2</v>
      </c>
      <c r="O81" s="1">
        <v>24.5</v>
      </c>
      <c r="P81" s="1">
        <v>18.100000000000001</v>
      </c>
    </row>
    <row r="82" spans="1:16" x14ac:dyDescent="0.45">
      <c r="A82">
        <v>0.19479931300583483</v>
      </c>
      <c r="B82" t="str">
        <f>VLOOKUP($D82,[1]lOOKUP!$M$3:$N$25,2,FALSE)</f>
        <v>Zn</v>
      </c>
      <c r="C82">
        <v>0.1</v>
      </c>
      <c r="D82">
        <v>1.35</v>
      </c>
      <c r="E82">
        <v>1.65</v>
      </c>
      <c r="F82">
        <v>38</v>
      </c>
      <c r="G82">
        <v>0.104</v>
      </c>
      <c r="H82">
        <v>354</v>
      </c>
      <c r="I82">
        <v>1</v>
      </c>
      <c r="J82">
        <v>600</v>
      </c>
      <c r="K82">
        <v>20</v>
      </c>
      <c r="L82">
        <v>6</v>
      </c>
      <c r="M82" s="1">
        <v>27.24</v>
      </c>
      <c r="N82" s="1">
        <v>12</v>
      </c>
      <c r="O82" s="1">
        <v>25.1</v>
      </c>
      <c r="P82" s="1">
        <v>17.600000000000001</v>
      </c>
    </row>
    <row r="83" spans="1:16" x14ac:dyDescent="0.45">
      <c r="A83">
        <v>0.19479931300583483</v>
      </c>
      <c r="B83" t="str">
        <f>VLOOKUP($D83,[1]lOOKUP!$M$3:$N$25,2,FALSE)</f>
        <v>Ga</v>
      </c>
      <c r="C83">
        <v>0.1</v>
      </c>
      <c r="D83">
        <v>2.81</v>
      </c>
      <c r="E83">
        <v>1.81</v>
      </c>
      <c r="F83">
        <v>38</v>
      </c>
      <c r="G83">
        <v>0.104</v>
      </c>
      <c r="H83">
        <v>354</v>
      </c>
      <c r="I83">
        <v>1</v>
      </c>
      <c r="J83">
        <v>600</v>
      </c>
      <c r="K83">
        <v>20</v>
      </c>
      <c r="L83">
        <v>6</v>
      </c>
      <c r="M83" s="1">
        <v>26.7</v>
      </c>
      <c r="N83" s="1">
        <v>12.4</v>
      </c>
      <c r="O83" s="1">
        <v>25.3</v>
      </c>
      <c r="P83" s="1">
        <v>18</v>
      </c>
    </row>
    <row r="84" spans="1:16" x14ac:dyDescent="0.45">
      <c r="A84">
        <v>0.19479931300583483</v>
      </c>
      <c r="B84" t="str">
        <f>VLOOKUP($D84,[1]lOOKUP!$M$3:$N$25,2,FALSE)</f>
        <v>Ni</v>
      </c>
      <c r="C84">
        <v>0.5</v>
      </c>
      <c r="D84">
        <v>4.4400000000000004</v>
      </c>
      <c r="E84">
        <v>1.91</v>
      </c>
      <c r="F84">
        <v>38</v>
      </c>
      <c r="G84">
        <v>0.104</v>
      </c>
      <c r="H84">
        <v>354</v>
      </c>
      <c r="I84">
        <v>1</v>
      </c>
      <c r="J84">
        <v>600</v>
      </c>
      <c r="K84">
        <v>20</v>
      </c>
      <c r="L84">
        <v>6</v>
      </c>
      <c r="M84" s="1">
        <v>27.79</v>
      </c>
      <c r="N84" s="1">
        <v>13.3</v>
      </c>
      <c r="O84" s="1">
        <v>26.3</v>
      </c>
      <c r="P84" s="1">
        <v>17.5</v>
      </c>
    </row>
    <row r="85" spans="1:16" x14ac:dyDescent="0.45">
      <c r="A85">
        <v>0.19479931300583483</v>
      </c>
      <c r="B85" t="str">
        <f>VLOOKUP($D85,[1]lOOKUP!$M$3:$N$25,2,FALSE)</f>
        <v>Cu</v>
      </c>
      <c r="C85">
        <v>0.5</v>
      </c>
      <c r="D85">
        <v>3.49</v>
      </c>
      <c r="E85">
        <v>1.9</v>
      </c>
      <c r="F85">
        <v>38</v>
      </c>
      <c r="G85">
        <v>0.104</v>
      </c>
      <c r="H85">
        <v>354</v>
      </c>
      <c r="I85">
        <v>1</v>
      </c>
      <c r="J85">
        <v>600</v>
      </c>
      <c r="K85">
        <v>20</v>
      </c>
      <c r="L85">
        <v>6</v>
      </c>
      <c r="M85" s="1">
        <v>28</v>
      </c>
      <c r="N85" s="1">
        <v>12.3</v>
      </c>
      <c r="O85" s="1">
        <v>25.6</v>
      </c>
      <c r="P85" s="1">
        <v>18.399999999999999</v>
      </c>
    </row>
    <row r="86" spans="1:16" x14ac:dyDescent="0.45">
      <c r="A86">
        <v>0.19479931300583483</v>
      </c>
      <c r="B86" t="str">
        <f>VLOOKUP($D86,[1]lOOKUP!$M$3:$N$25,2,FALSE)</f>
        <v>Zn</v>
      </c>
      <c r="C86">
        <v>0.5</v>
      </c>
      <c r="D86">
        <v>1.35</v>
      </c>
      <c r="E86">
        <v>1.65</v>
      </c>
      <c r="F86">
        <v>38</v>
      </c>
      <c r="G86">
        <v>0.104</v>
      </c>
      <c r="H86">
        <v>354</v>
      </c>
      <c r="I86">
        <v>1</v>
      </c>
      <c r="J86">
        <v>600</v>
      </c>
      <c r="K86">
        <v>20</v>
      </c>
      <c r="L86">
        <v>6</v>
      </c>
      <c r="M86" s="1">
        <v>26.21</v>
      </c>
      <c r="N86" s="1">
        <v>13.5</v>
      </c>
      <c r="O86" s="1">
        <v>26.2</v>
      </c>
      <c r="P86" s="1">
        <v>17.399999999999999</v>
      </c>
    </row>
    <row r="87" spans="1:16" x14ac:dyDescent="0.45">
      <c r="A87">
        <v>0.19479931300583483</v>
      </c>
      <c r="B87" t="str">
        <f>VLOOKUP($D87,[1]lOOKUP!$M$3:$N$25,2,FALSE)</f>
        <v>Ga</v>
      </c>
      <c r="C87">
        <v>0.5</v>
      </c>
      <c r="D87">
        <v>2.81</v>
      </c>
      <c r="E87">
        <v>1.81</v>
      </c>
      <c r="F87">
        <v>38</v>
      </c>
      <c r="G87">
        <v>0.104</v>
      </c>
      <c r="H87">
        <v>354</v>
      </c>
      <c r="I87">
        <v>1</v>
      </c>
      <c r="J87">
        <v>600</v>
      </c>
      <c r="K87">
        <v>20</v>
      </c>
      <c r="L87">
        <v>6</v>
      </c>
      <c r="M87" s="1">
        <v>21.72</v>
      </c>
      <c r="N87" s="1">
        <v>14.3</v>
      </c>
      <c r="O87" s="1">
        <v>25.9</v>
      </c>
      <c r="P87" s="1">
        <v>17.600000000000001</v>
      </c>
    </row>
    <row r="88" spans="1:16" x14ac:dyDescent="0.45">
      <c r="A88">
        <v>0.19479931300583483</v>
      </c>
      <c r="B88" t="str">
        <f>VLOOKUP($D88,[1]lOOKUP!$M$3:$N$25,2,FALSE)</f>
        <v>Ni</v>
      </c>
      <c r="C88">
        <v>1</v>
      </c>
      <c r="D88">
        <v>4.4400000000000004</v>
      </c>
      <c r="E88">
        <v>1.91</v>
      </c>
      <c r="F88">
        <v>38</v>
      </c>
      <c r="G88">
        <v>0.104</v>
      </c>
      <c r="H88">
        <v>354</v>
      </c>
      <c r="I88">
        <v>1</v>
      </c>
      <c r="J88">
        <v>600</v>
      </c>
      <c r="K88">
        <v>20</v>
      </c>
      <c r="L88">
        <v>6</v>
      </c>
      <c r="M88" s="1">
        <v>25.9</v>
      </c>
      <c r="N88" s="1">
        <v>14.3</v>
      </c>
      <c r="O88" s="1">
        <v>27.8</v>
      </c>
      <c r="P88" s="1">
        <v>17.8</v>
      </c>
    </row>
    <row r="89" spans="1:16" x14ac:dyDescent="0.45">
      <c r="A89">
        <v>0.19479931300583483</v>
      </c>
      <c r="B89" t="str">
        <f>VLOOKUP($D89,[1]lOOKUP!$M$3:$N$25,2,FALSE)</f>
        <v>Cu</v>
      </c>
      <c r="C89">
        <v>1</v>
      </c>
      <c r="D89">
        <v>3.49</v>
      </c>
      <c r="E89">
        <v>1.9</v>
      </c>
      <c r="F89">
        <v>38</v>
      </c>
      <c r="G89">
        <v>0.104</v>
      </c>
      <c r="H89">
        <v>354</v>
      </c>
      <c r="I89">
        <v>1</v>
      </c>
      <c r="J89">
        <v>600</v>
      </c>
      <c r="K89">
        <v>20</v>
      </c>
      <c r="L89">
        <v>6</v>
      </c>
      <c r="M89" s="1">
        <v>26.7</v>
      </c>
      <c r="N89" s="1">
        <v>13.4</v>
      </c>
      <c r="O89" s="1">
        <v>27</v>
      </c>
      <c r="P89" s="1">
        <v>18.399999999999999</v>
      </c>
    </row>
    <row r="90" spans="1:16" x14ac:dyDescent="0.45">
      <c r="A90">
        <v>0.19479931300583483</v>
      </c>
      <c r="B90" t="str">
        <f>VLOOKUP($D90,[1]lOOKUP!$M$3:$N$25,2,FALSE)</f>
        <v>Zn</v>
      </c>
      <c r="C90">
        <v>1</v>
      </c>
      <c r="D90">
        <v>1.35</v>
      </c>
      <c r="E90">
        <v>1.65</v>
      </c>
      <c r="F90">
        <v>38</v>
      </c>
      <c r="G90">
        <v>0.104</v>
      </c>
      <c r="H90">
        <v>354</v>
      </c>
      <c r="I90">
        <v>1</v>
      </c>
      <c r="J90">
        <v>600</v>
      </c>
      <c r="K90">
        <v>20</v>
      </c>
      <c r="L90">
        <v>6</v>
      </c>
      <c r="M90" s="1">
        <v>28.11</v>
      </c>
      <c r="N90" s="1">
        <v>16.399999999999999</v>
      </c>
      <c r="O90" s="1">
        <v>29.4</v>
      </c>
      <c r="P90" s="1">
        <v>17.8</v>
      </c>
    </row>
    <row r="91" spans="1:16" x14ac:dyDescent="0.45">
      <c r="A91">
        <v>0.19479931300583483</v>
      </c>
      <c r="B91" t="str">
        <f>VLOOKUP($D91,[1]lOOKUP!$M$3:$N$25,2,FALSE)</f>
        <v>Ga</v>
      </c>
      <c r="C91">
        <v>1</v>
      </c>
      <c r="D91">
        <v>2.81</v>
      </c>
      <c r="E91">
        <v>1.81</v>
      </c>
      <c r="F91">
        <v>38</v>
      </c>
      <c r="G91">
        <v>0.104</v>
      </c>
      <c r="H91">
        <v>354</v>
      </c>
      <c r="I91">
        <v>1</v>
      </c>
      <c r="J91">
        <v>600</v>
      </c>
      <c r="K91">
        <v>20</v>
      </c>
      <c r="L91">
        <v>6</v>
      </c>
      <c r="M91" s="1">
        <v>24</v>
      </c>
      <c r="N91" s="1">
        <v>17.600000000000001</v>
      </c>
      <c r="O91" s="1">
        <v>29.1</v>
      </c>
      <c r="P91" s="1">
        <v>17.8</v>
      </c>
    </row>
    <row r="92" spans="1:16" x14ac:dyDescent="0.45">
      <c r="A92">
        <v>0.87049664734628907</v>
      </c>
      <c r="B92" t="str">
        <f>VLOOKUP($D92,[1]lOOKUP!$M$3:$N$25,2,FALSE)</f>
        <v>Co</v>
      </c>
      <c r="C92">
        <v>1</v>
      </c>
      <c r="D92">
        <v>4.3899999999999997</v>
      </c>
      <c r="E92">
        <v>1.88</v>
      </c>
      <c r="F92">
        <v>25</v>
      </c>
      <c r="G92">
        <v>3.82</v>
      </c>
      <c r="H92">
        <v>317</v>
      </c>
      <c r="I92">
        <v>2</v>
      </c>
      <c r="J92">
        <v>600</v>
      </c>
      <c r="K92">
        <v>2.5</v>
      </c>
      <c r="L92">
        <v>1.2</v>
      </c>
      <c r="M92" s="1">
        <v>32.5</v>
      </c>
      <c r="N92" s="1">
        <v>28.092307692307696</v>
      </c>
      <c r="O92" s="1">
        <v>42.566153846153838</v>
      </c>
      <c r="P92" s="1">
        <v>9.2307692307692299</v>
      </c>
    </row>
    <row r="93" spans="1:16" x14ac:dyDescent="0.45">
      <c r="A93">
        <v>0.87049664734628907</v>
      </c>
      <c r="B93" t="str">
        <f>VLOOKUP($D93,[1]lOOKUP!$M$3:$N$25,2,FALSE)</f>
        <v>Mo</v>
      </c>
      <c r="C93">
        <v>3</v>
      </c>
      <c r="D93">
        <v>6.82</v>
      </c>
      <c r="E93">
        <v>2.16</v>
      </c>
      <c r="F93">
        <v>24</v>
      </c>
      <c r="G93">
        <v>0.86</v>
      </c>
      <c r="H93">
        <v>360</v>
      </c>
      <c r="I93">
        <v>2</v>
      </c>
      <c r="J93">
        <v>600</v>
      </c>
      <c r="K93">
        <v>2.5</v>
      </c>
      <c r="L93">
        <v>1.2</v>
      </c>
      <c r="M93" s="1">
        <v>31.196000000000002</v>
      </c>
      <c r="N93" s="1">
        <v>32.055391716886781</v>
      </c>
      <c r="O93" s="1">
        <v>38.754968585716114</v>
      </c>
      <c r="P93" s="1">
        <v>13.219643544044107</v>
      </c>
    </row>
    <row r="94" spans="1:16" x14ac:dyDescent="0.45">
      <c r="A94">
        <v>0.87049664734628907</v>
      </c>
      <c r="B94" t="str">
        <f>VLOOKUP($D94,[1]lOOKUP!$M$3:$N$25,2,FALSE)</f>
        <v>Zr</v>
      </c>
      <c r="C94">
        <v>1.5</v>
      </c>
      <c r="D94">
        <v>6.25</v>
      </c>
      <c r="E94">
        <v>1.33</v>
      </c>
      <c r="F94">
        <v>25</v>
      </c>
      <c r="G94">
        <v>2.97</v>
      </c>
      <c r="H94">
        <v>329</v>
      </c>
      <c r="I94">
        <v>2</v>
      </c>
      <c r="J94">
        <v>600</v>
      </c>
      <c r="K94">
        <v>2.5</v>
      </c>
      <c r="L94">
        <v>1.2</v>
      </c>
      <c r="M94" s="1">
        <v>27.919</v>
      </c>
      <c r="N94" s="1">
        <v>37.121673412371507</v>
      </c>
      <c r="O94" s="1">
        <v>34.994090046205095</v>
      </c>
      <c r="P94" s="1">
        <v>9.337726995952579</v>
      </c>
    </row>
    <row r="95" spans="1:16" x14ac:dyDescent="0.45">
      <c r="A95">
        <v>-0.43204922418405534</v>
      </c>
      <c r="B95" t="str">
        <f>VLOOKUP($D95,[1]lOOKUP!$M$3:$N$25,2,FALSE)</f>
        <v>Ni</v>
      </c>
      <c r="C95">
        <v>3</v>
      </c>
      <c r="D95">
        <v>4.4400000000000004</v>
      </c>
      <c r="E95">
        <v>1.91</v>
      </c>
      <c r="F95">
        <v>40</v>
      </c>
      <c r="G95">
        <v>2.0179399999999998</v>
      </c>
      <c r="H95">
        <v>398</v>
      </c>
      <c r="I95">
        <v>1</v>
      </c>
      <c r="J95">
        <v>600</v>
      </c>
      <c r="K95">
        <v>5</v>
      </c>
      <c r="L95">
        <v>36</v>
      </c>
      <c r="M95" s="1">
        <v>23.263000000000002</v>
      </c>
      <c r="N95" s="1">
        <v>15.900786656923009</v>
      </c>
      <c r="O95" s="1">
        <v>17.903967673988735</v>
      </c>
      <c r="P95" s="1">
        <v>16.614366160856296</v>
      </c>
    </row>
    <row r="96" spans="1:16" x14ac:dyDescent="0.45">
      <c r="A96">
        <v>-0.43204922418405534</v>
      </c>
      <c r="B96" t="str">
        <f>VLOOKUP($D96,[1]lOOKUP!$M$3:$N$25,2,FALSE)</f>
        <v>Ni</v>
      </c>
      <c r="C96">
        <v>5</v>
      </c>
      <c r="D96">
        <v>4.4400000000000004</v>
      </c>
      <c r="E96">
        <v>1.91</v>
      </c>
      <c r="F96">
        <v>40</v>
      </c>
      <c r="G96">
        <v>0.104</v>
      </c>
      <c r="H96">
        <v>366</v>
      </c>
      <c r="I96">
        <v>1</v>
      </c>
      <c r="J96">
        <v>600</v>
      </c>
      <c r="K96">
        <v>5</v>
      </c>
      <c r="L96">
        <v>36</v>
      </c>
      <c r="M96" s="1">
        <v>18.585999999999999</v>
      </c>
      <c r="N96" s="1">
        <v>13.671580759711611</v>
      </c>
      <c r="O96" s="1">
        <v>27.429247820940496</v>
      </c>
      <c r="P96" s="1">
        <v>18.201872377058002</v>
      </c>
    </row>
    <row r="97" spans="1:16" x14ac:dyDescent="0.45">
      <c r="A97">
        <v>0.40701836290071586</v>
      </c>
      <c r="B97" t="str">
        <f>VLOOKUP($D97,[1]lOOKUP!$M$3:$N$25,2,FALSE)</f>
        <v>Zn</v>
      </c>
      <c r="C97">
        <v>1</v>
      </c>
      <c r="D97">
        <v>1.35</v>
      </c>
      <c r="E97">
        <v>1.65</v>
      </c>
      <c r="F97">
        <v>25</v>
      </c>
      <c r="G97">
        <v>1.9019999999999999</v>
      </c>
      <c r="H97">
        <v>322.8</v>
      </c>
      <c r="I97">
        <v>2</v>
      </c>
      <c r="J97">
        <v>550</v>
      </c>
      <c r="K97">
        <v>1</v>
      </c>
      <c r="L97">
        <v>8</v>
      </c>
      <c r="M97" s="1">
        <v>22.968372843864199</v>
      </c>
      <c r="N97" s="1">
        <v>30.868534084659949</v>
      </c>
      <c r="O97" s="1">
        <v>34.961118293345464</v>
      </c>
      <c r="P97" s="1">
        <v>12.800210184612165</v>
      </c>
    </row>
    <row r="98" spans="1:16" x14ac:dyDescent="0.45">
      <c r="A98">
        <v>0.40701836290071586</v>
      </c>
      <c r="B98" t="str">
        <f>VLOOKUP($D98,[1]lOOKUP!$M$3:$N$25,2,FALSE)</f>
        <v>Mo</v>
      </c>
      <c r="C98">
        <v>1</v>
      </c>
      <c r="D98">
        <v>6.82</v>
      </c>
      <c r="E98">
        <v>2.16</v>
      </c>
      <c r="F98">
        <v>25</v>
      </c>
      <c r="G98">
        <v>1.9019999999999999</v>
      </c>
      <c r="H98">
        <v>324.7</v>
      </c>
      <c r="I98">
        <v>2</v>
      </c>
      <c r="J98">
        <v>550</v>
      </c>
      <c r="K98">
        <v>1</v>
      </c>
      <c r="L98">
        <v>8</v>
      </c>
      <c r="M98" s="1">
        <v>27.906022748461599</v>
      </c>
      <c r="N98" s="1">
        <v>34.293672323934352</v>
      </c>
      <c r="O98" s="1">
        <v>33.075297340638883</v>
      </c>
      <c r="P98" s="1">
        <v>13.151282907924669</v>
      </c>
    </row>
    <row r="99" spans="1:16" x14ac:dyDescent="0.45">
      <c r="A99">
        <v>0.40701836290071586</v>
      </c>
      <c r="B99" t="str">
        <f>VLOOKUP($D99,[1]lOOKUP!$M$3:$N$25,2,FALSE)</f>
        <v>Ga</v>
      </c>
      <c r="C99">
        <v>1</v>
      </c>
      <c r="D99">
        <v>2.81</v>
      </c>
      <c r="E99">
        <v>1.81</v>
      </c>
      <c r="F99">
        <v>25</v>
      </c>
      <c r="G99">
        <v>0.80800000000000005</v>
      </c>
      <c r="H99">
        <v>353.5</v>
      </c>
      <c r="I99">
        <v>2</v>
      </c>
      <c r="J99">
        <v>550</v>
      </c>
      <c r="K99">
        <v>1</v>
      </c>
      <c r="L99">
        <v>8</v>
      </c>
      <c r="M99" s="1">
        <v>30.072005292478401</v>
      </c>
      <c r="N99" s="1">
        <v>39.771208749392677</v>
      </c>
      <c r="O99" s="1">
        <v>28.265491168046637</v>
      </c>
      <c r="P99" s="1">
        <v>9.5105064400721631</v>
      </c>
    </row>
    <row r="100" spans="1:16" x14ac:dyDescent="0.45">
      <c r="A100">
        <v>0.40701836290071586</v>
      </c>
      <c r="B100" t="str">
        <f>VLOOKUP($D100,[1]lOOKUP!$M$3:$N$25,2,FALSE)</f>
        <v>Fe</v>
      </c>
      <c r="C100">
        <v>1</v>
      </c>
      <c r="D100">
        <v>4.28</v>
      </c>
      <c r="E100">
        <v>1.83</v>
      </c>
      <c r="F100">
        <v>25</v>
      </c>
      <c r="G100">
        <v>1.3</v>
      </c>
      <c r="H100">
        <v>380.2</v>
      </c>
      <c r="I100">
        <v>2</v>
      </c>
      <c r="J100">
        <v>550</v>
      </c>
      <c r="K100">
        <v>1</v>
      </c>
      <c r="L100">
        <v>8</v>
      </c>
      <c r="M100" s="1">
        <v>28.305372427515699</v>
      </c>
      <c r="N100" s="1">
        <v>27.909895975508864</v>
      </c>
      <c r="O100" s="1">
        <v>37.130760342101034</v>
      </c>
      <c r="P100" s="1">
        <v>14.626198650456542</v>
      </c>
    </row>
    <row r="101" spans="1:16" x14ac:dyDescent="0.45">
      <c r="A101">
        <v>0.40701836290071586</v>
      </c>
      <c r="B101" t="str">
        <f>VLOOKUP($D101,[1]lOOKUP!$M$3:$N$25,2,FALSE)</f>
        <v>Zn</v>
      </c>
      <c r="C101">
        <v>4</v>
      </c>
      <c r="D101">
        <v>1.35</v>
      </c>
      <c r="E101">
        <v>1.65</v>
      </c>
      <c r="F101">
        <v>25</v>
      </c>
      <c r="G101">
        <v>0.88200000000000001</v>
      </c>
      <c r="H101">
        <v>302.8</v>
      </c>
      <c r="I101">
        <v>2</v>
      </c>
      <c r="J101">
        <v>550</v>
      </c>
      <c r="K101">
        <v>1</v>
      </c>
      <c r="L101">
        <v>8</v>
      </c>
      <c r="M101" s="1">
        <v>17.5602625495128</v>
      </c>
      <c r="N101" s="1">
        <v>35.306989189475509</v>
      </c>
      <c r="O101" s="1">
        <v>32.345757838100141</v>
      </c>
      <c r="P101" s="1">
        <v>9.2823213514266243</v>
      </c>
    </row>
    <row r="102" spans="1:16" x14ac:dyDescent="0.45">
      <c r="A102">
        <v>0.40701836290071586</v>
      </c>
      <c r="B102" t="str">
        <f>VLOOKUP($D102,[1]lOOKUP!$M$3:$N$25,2,FALSE)</f>
        <v>Mo</v>
      </c>
      <c r="C102">
        <v>4</v>
      </c>
      <c r="D102">
        <v>6.82</v>
      </c>
      <c r="E102">
        <v>2.16</v>
      </c>
      <c r="F102">
        <v>25</v>
      </c>
      <c r="G102">
        <v>0.95919999999999983</v>
      </c>
      <c r="H102">
        <v>292.39999999999998</v>
      </c>
      <c r="I102">
        <v>2</v>
      </c>
      <c r="J102">
        <v>550</v>
      </c>
      <c r="K102">
        <v>1</v>
      </c>
      <c r="L102">
        <v>8</v>
      </c>
      <c r="M102" s="1">
        <v>19.7081250618442</v>
      </c>
      <c r="N102" s="1">
        <v>29.632448452980938</v>
      </c>
      <c r="O102" s="1">
        <v>35.772048218067738</v>
      </c>
      <c r="P102" s="1">
        <v>11.416611133425874</v>
      </c>
    </row>
    <row r="103" spans="1:16" x14ac:dyDescent="0.45">
      <c r="A103">
        <v>0.40701836290071586</v>
      </c>
      <c r="B103" t="str">
        <f>VLOOKUP($D103,[1]lOOKUP!$M$3:$N$25,2,FALSE)</f>
        <v>Ga</v>
      </c>
      <c r="C103">
        <v>4</v>
      </c>
      <c r="D103">
        <v>2.81</v>
      </c>
      <c r="E103">
        <v>1.81</v>
      </c>
      <c r="F103">
        <v>25</v>
      </c>
      <c r="G103">
        <v>1.3979999999999999</v>
      </c>
      <c r="H103">
        <v>320.5</v>
      </c>
      <c r="I103">
        <v>2</v>
      </c>
      <c r="J103">
        <v>550</v>
      </c>
      <c r="K103">
        <v>1</v>
      </c>
      <c r="L103">
        <v>8</v>
      </c>
      <c r="M103" s="1">
        <v>27.976185835639601</v>
      </c>
      <c r="N103" s="1">
        <v>33.921707754423188</v>
      </c>
      <c r="O103" s="1">
        <v>32.456175596434406</v>
      </c>
      <c r="P103" s="1">
        <v>7.3991501635043191</v>
      </c>
    </row>
    <row r="104" spans="1:16" x14ac:dyDescent="0.45">
      <c r="A104">
        <v>0.40701836290071586</v>
      </c>
      <c r="B104" t="str">
        <f>VLOOKUP($D104,[1]lOOKUP!$M$3:$N$25,2,FALSE)</f>
        <v>Fe</v>
      </c>
      <c r="C104">
        <v>4</v>
      </c>
      <c r="D104">
        <v>4.28</v>
      </c>
      <c r="E104">
        <v>1.83</v>
      </c>
      <c r="F104">
        <v>25</v>
      </c>
      <c r="G104">
        <v>1.18</v>
      </c>
      <c r="H104">
        <v>352.3</v>
      </c>
      <c r="I104">
        <v>2</v>
      </c>
      <c r="J104">
        <v>550</v>
      </c>
      <c r="K104">
        <v>1</v>
      </c>
      <c r="L104">
        <v>8</v>
      </c>
      <c r="M104" s="1">
        <v>23.224207568838199</v>
      </c>
      <c r="N104" s="1">
        <v>29.064500823085226</v>
      </c>
      <c r="O104" s="1">
        <v>36.384449178528911</v>
      </c>
      <c r="P104" s="1">
        <v>14.037077434556718</v>
      </c>
    </row>
  </sheetData>
  <autoFilter ref="A1:P104" xr:uid="{0510C4BB-9ADE-494A-BFCB-E5102825DB2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6F0D-0B34-47CF-AA2E-693A90DCAE23}">
  <dimension ref="A1:F255"/>
  <sheetViews>
    <sheetView workbookViewId="0">
      <selection activeCell="H13" sqref="H13"/>
    </sheetView>
  </sheetViews>
  <sheetFormatPr defaultRowHeight="14.25" x14ac:dyDescent="0.45"/>
  <sheetData>
    <row r="1" spans="1:6" x14ac:dyDescent="0.45">
      <c r="A1" t="s">
        <v>10</v>
      </c>
      <c r="B1" t="s">
        <v>11</v>
      </c>
      <c r="C1" t="s">
        <v>21</v>
      </c>
      <c r="D1" t="s">
        <v>20</v>
      </c>
    </row>
    <row r="2" spans="1:6" x14ac:dyDescent="0.45">
      <c r="A2" s="2">
        <v>23.1</v>
      </c>
      <c r="B2" s="2">
        <v>30</v>
      </c>
      <c r="C2" s="2">
        <f>A2*B2</f>
        <v>693</v>
      </c>
      <c r="D2" s="2" t="s">
        <v>18</v>
      </c>
      <c r="F2" t="s">
        <v>22</v>
      </c>
    </row>
    <row r="3" spans="1:6" x14ac:dyDescent="0.45">
      <c r="A3" s="2">
        <v>26.1</v>
      </c>
      <c r="B3" s="2">
        <v>41.5</v>
      </c>
      <c r="C3" s="2">
        <f t="shared" ref="C3:C66" si="0">A3*B3</f>
        <v>1083.1500000000001</v>
      </c>
      <c r="D3" s="2" t="s">
        <v>18</v>
      </c>
      <c r="E3" t="s">
        <v>19</v>
      </c>
      <c r="F3">
        <v>1</v>
      </c>
    </row>
    <row r="4" spans="1:6" x14ac:dyDescent="0.45">
      <c r="A4" s="2">
        <v>45.7</v>
      </c>
      <c r="B4" s="2">
        <v>14.6</v>
      </c>
      <c r="C4" s="2">
        <f t="shared" si="0"/>
        <v>667.22</v>
      </c>
      <c r="D4" s="2" t="s">
        <v>18</v>
      </c>
      <c r="E4" t="s">
        <v>18</v>
      </c>
      <c r="F4">
        <v>2</v>
      </c>
    </row>
    <row r="5" spans="1:6" x14ac:dyDescent="0.45">
      <c r="A5" s="8">
        <v>16.379310344827587</v>
      </c>
      <c r="B5" s="8">
        <v>31.527093596059117</v>
      </c>
      <c r="C5" s="2">
        <f t="shared" si="0"/>
        <v>516.39205028027868</v>
      </c>
      <c r="D5" s="2" t="s">
        <v>18</v>
      </c>
    </row>
    <row r="6" spans="1:6" x14ac:dyDescent="0.45">
      <c r="A6" s="8">
        <v>29.943502824858758</v>
      </c>
      <c r="B6" s="8">
        <v>30.621468926553675</v>
      </c>
      <c r="C6" s="2">
        <f t="shared" si="0"/>
        <v>916.91404130358467</v>
      </c>
      <c r="D6" s="2" t="s">
        <v>18</v>
      </c>
    </row>
    <row r="7" spans="1:6" x14ac:dyDescent="0.45">
      <c r="A7" s="8">
        <v>16.362566215420838</v>
      </c>
      <c r="B7" s="8">
        <v>25.485579752795765</v>
      </c>
      <c r="C7" s="2">
        <f t="shared" si="0"/>
        <v>417.00948624350934</v>
      </c>
      <c r="D7" s="2" t="s">
        <v>18</v>
      </c>
    </row>
    <row r="8" spans="1:6" x14ac:dyDescent="0.45">
      <c r="A8" s="8">
        <v>23.277182235834609</v>
      </c>
      <c r="B8" s="8">
        <v>30.398162327718222</v>
      </c>
      <c r="C8" s="2">
        <f t="shared" si="0"/>
        <v>707.58356413677939</v>
      </c>
      <c r="D8" s="2" t="s">
        <v>18</v>
      </c>
    </row>
    <row r="9" spans="1:6" x14ac:dyDescent="0.45">
      <c r="A9" s="8">
        <v>27.644569816643159</v>
      </c>
      <c r="B9" s="8">
        <v>25.811001410437235</v>
      </c>
      <c r="C9" s="2">
        <f t="shared" si="0"/>
        <v>713.5340305283072</v>
      </c>
      <c r="D9" s="2" t="s">
        <v>18</v>
      </c>
    </row>
    <row r="10" spans="1:6" x14ac:dyDescent="0.45">
      <c r="A10" s="8">
        <v>37.167199148029816</v>
      </c>
      <c r="B10" s="8">
        <v>41.853035143769965</v>
      </c>
      <c r="C10" s="2">
        <f t="shared" si="0"/>
        <v>1555.5600921379889</v>
      </c>
      <c r="D10" s="2" t="s">
        <v>18</v>
      </c>
    </row>
    <row r="11" spans="1:6" x14ac:dyDescent="0.45">
      <c r="A11" s="8">
        <v>4.3103448275862073</v>
      </c>
      <c r="B11" s="8">
        <v>23.27586206896552</v>
      </c>
      <c r="C11" s="2">
        <f t="shared" si="0"/>
        <v>100.32699167657553</v>
      </c>
      <c r="D11" s="2" t="s">
        <v>18</v>
      </c>
    </row>
    <row r="12" spans="1:6" x14ac:dyDescent="0.45">
      <c r="A12" s="8">
        <v>2.0408163265306123</v>
      </c>
      <c r="B12" s="8">
        <v>14.285714285714286</v>
      </c>
      <c r="C12" s="2">
        <f t="shared" si="0"/>
        <v>29.154518950437321</v>
      </c>
      <c r="D12" s="2" t="s">
        <v>18</v>
      </c>
    </row>
    <row r="13" spans="1:6" x14ac:dyDescent="0.45">
      <c r="A13" s="8">
        <v>3.2490974729241877</v>
      </c>
      <c r="B13" s="8">
        <v>14.801444043321299</v>
      </c>
      <c r="C13" s="2">
        <f t="shared" si="0"/>
        <v>48.091334436784003</v>
      </c>
      <c r="D13" s="2" t="s">
        <v>18</v>
      </c>
    </row>
    <row r="14" spans="1:6" x14ac:dyDescent="0.45">
      <c r="A14" s="8">
        <v>2.4911032028469751</v>
      </c>
      <c r="B14" s="8">
        <v>16.370106761565832</v>
      </c>
      <c r="C14" s="2">
        <f t="shared" si="0"/>
        <v>40.77962538468357</v>
      </c>
      <c r="D14" s="2" t="s">
        <v>18</v>
      </c>
    </row>
    <row r="15" spans="1:6" x14ac:dyDescent="0.45">
      <c r="A15" s="8">
        <v>3.6630036630036629</v>
      </c>
      <c r="B15" s="8">
        <v>17.216117216117215</v>
      </c>
      <c r="C15" s="2">
        <f t="shared" si="0"/>
        <v>63.062700425337781</v>
      </c>
      <c r="D15" s="2" t="s">
        <v>18</v>
      </c>
    </row>
    <row r="16" spans="1:6" x14ac:dyDescent="0.45">
      <c r="A16" s="8">
        <v>9.1656874265569925</v>
      </c>
      <c r="B16" s="8">
        <v>31.374853113983548</v>
      </c>
      <c r="C16" s="2">
        <f t="shared" si="0"/>
        <v>287.5720966969115</v>
      </c>
      <c r="D16" s="2" t="s">
        <v>18</v>
      </c>
    </row>
    <row r="17" spans="1:4" x14ac:dyDescent="0.45">
      <c r="A17" s="8">
        <v>11.357183418512209</v>
      </c>
      <c r="B17" s="8">
        <v>35.77512776831346</v>
      </c>
      <c r="C17" s="2">
        <f t="shared" si="0"/>
        <v>406.30468788544533</v>
      </c>
      <c r="D17" s="2" t="s">
        <v>18</v>
      </c>
    </row>
    <row r="18" spans="1:4" x14ac:dyDescent="0.45">
      <c r="A18" s="8">
        <v>8.8088351301604</v>
      </c>
      <c r="B18" s="8">
        <v>35.695503549829084</v>
      </c>
      <c r="C18" s="2">
        <f t="shared" si="0"/>
        <v>314.4358056584997</v>
      </c>
      <c r="D18" s="2" t="s">
        <v>18</v>
      </c>
    </row>
    <row r="19" spans="1:4" x14ac:dyDescent="0.45">
      <c r="A19" s="8">
        <v>9.6145876502279304</v>
      </c>
      <c r="B19" s="8">
        <v>36.054703688354742</v>
      </c>
      <c r="C19" s="2">
        <f t="shared" si="0"/>
        <v>346.65110881468291</v>
      </c>
      <c r="D19" s="2" t="s">
        <v>18</v>
      </c>
    </row>
    <row r="20" spans="1:4" x14ac:dyDescent="0.45">
      <c r="A20" s="8">
        <v>9.6793708408953414</v>
      </c>
      <c r="B20" s="8">
        <v>37.810042347247432</v>
      </c>
      <c r="C20" s="2">
        <f t="shared" si="0"/>
        <v>365.97742138896484</v>
      </c>
      <c r="D20" s="2" t="s">
        <v>18</v>
      </c>
    </row>
    <row r="21" spans="1:4" x14ac:dyDescent="0.45">
      <c r="A21" s="8">
        <v>7.5786282682834409</v>
      </c>
      <c r="B21" s="8">
        <v>34.179613489958314</v>
      </c>
      <c r="C21" s="2">
        <f t="shared" si="0"/>
        <v>259.03458499400011</v>
      </c>
      <c r="D21" s="2" t="s">
        <v>18</v>
      </c>
    </row>
    <row r="22" spans="1:4" x14ac:dyDescent="0.45">
      <c r="A22" s="9">
        <v>7.9365079365079367</v>
      </c>
      <c r="B22" s="9">
        <v>27.93650793650794</v>
      </c>
      <c r="C22" s="2">
        <f t="shared" si="0"/>
        <v>221.71831695641222</v>
      </c>
      <c r="D22" s="2" t="s">
        <v>19</v>
      </c>
    </row>
    <row r="23" spans="1:4" x14ac:dyDescent="0.45">
      <c r="A23" s="9">
        <v>6.9364161849710984</v>
      </c>
      <c r="B23" s="9">
        <v>26.011560693641616</v>
      </c>
      <c r="C23" s="2">
        <f t="shared" si="0"/>
        <v>180.42701059173376</v>
      </c>
      <c r="D23" s="2" t="s">
        <v>19</v>
      </c>
    </row>
    <row r="24" spans="1:4" x14ac:dyDescent="0.45">
      <c r="A24" s="9">
        <v>4.301075268817204</v>
      </c>
      <c r="B24" s="9">
        <v>25.268817204301072</v>
      </c>
      <c r="C24" s="2">
        <f t="shared" si="0"/>
        <v>108.68308474968202</v>
      </c>
      <c r="D24" s="2" t="s">
        <v>19</v>
      </c>
    </row>
    <row r="25" spans="1:4" x14ac:dyDescent="0.45">
      <c r="A25" s="9">
        <v>10.588235294117647</v>
      </c>
      <c r="B25" s="9">
        <v>31.550802139037433</v>
      </c>
      <c r="C25" s="2">
        <f t="shared" si="0"/>
        <v>334.06731676627868</v>
      </c>
      <c r="D25" s="2" t="s">
        <v>19</v>
      </c>
    </row>
    <row r="26" spans="1:4" x14ac:dyDescent="0.45">
      <c r="A26" s="9">
        <v>10.759493670886076</v>
      </c>
      <c r="B26" s="9">
        <v>32.151898734177216</v>
      </c>
      <c r="C26" s="2">
        <f t="shared" si="0"/>
        <v>345.9381509373498</v>
      </c>
      <c r="D26" s="2" t="s">
        <v>19</v>
      </c>
    </row>
    <row r="27" spans="1:4" x14ac:dyDescent="0.45">
      <c r="A27" s="9">
        <v>9.1964285714285712</v>
      </c>
      <c r="B27" s="9">
        <v>27.8125</v>
      </c>
      <c r="C27" s="2">
        <f t="shared" si="0"/>
        <v>255.77566964285714</v>
      </c>
      <c r="D27" s="2" t="s">
        <v>19</v>
      </c>
    </row>
    <row r="28" spans="1:4" x14ac:dyDescent="0.45">
      <c r="A28" s="9">
        <v>11.791044776119403</v>
      </c>
      <c r="B28" s="9">
        <v>34.179104477611943</v>
      </c>
      <c r="C28" s="2">
        <f t="shared" si="0"/>
        <v>403.0073513031856</v>
      </c>
      <c r="D28" s="2" t="s">
        <v>19</v>
      </c>
    </row>
    <row r="29" spans="1:4" x14ac:dyDescent="0.45">
      <c r="A29" s="9">
        <v>9.2903225806451619</v>
      </c>
      <c r="B29" s="9">
        <v>27.870967741935484</v>
      </c>
      <c r="C29" s="2">
        <f t="shared" si="0"/>
        <v>258.93028095733615</v>
      </c>
      <c r="D29" s="2" t="s">
        <v>19</v>
      </c>
    </row>
    <row r="30" spans="1:4" x14ac:dyDescent="0.45">
      <c r="A30" s="9">
        <v>11.182649949169772</v>
      </c>
      <c r="B30" s="9">
        <v>33.785157573703835</v>
      </c>
      <c r="C30" s="2">
        <f t="shared" si="0"/>
        <v>377.80759062427194</v>
      </c>
      <c r="D30" s="2" t="s">
        <v>19</v>
      </c>
    </row>
    <row r="31" spans="1:4" x14ac:dyDescent="0.45">
      <c r="A31" s="8">
        <v>22.571428571428573</v>
      </c>
      <c r="B31" s="8">
        <v>34.571428571428569</v>
      </c>
      <c r="C31" s="2">
        <f t="shared" si="0"/>
        <v>780.32653061224494</v>
      </c>
      <c r="D31" s="3" t="s">
        <v>18</v>
      </c>
    </row>
    <row r="32" spans="1:4" x14ac:dyDescent="0.45">
      <c r="A32" s="8">
        <v>29.05263157894737</v>
      </c>
      <c r="B32" s="8">
        <v>38.210526315789473</v>
      </c>
      <c r="C32" s="2">
        <f t="shared" si="0"/>
        <v>1110.1163434903046</v>
      </c>
      <c r="D32" s="3" t="s">
        <v>18</v>
      </c>
    </row>
    <row r="33" spans="1:4" x14ac:dyDescent="0.45">
      <c r="A33" s="8">
        <v>29.2</v>
      </c>
      <c r="B33" s="8">
        <v>37</v>
      </c>
      <c r="C33" s="2">
        <f t="shared" si="0"/>
        <v>1080.3999999999999</v>
      </c>
      <c r="D33" s="3" t="s">
        <v>18</v>
      </c>
    </row>
    <row r="34" spans="1:4" x14ac:dyDescent="0.45">
      <c r="A34" s="8">
        <v>28.421052631578949</v>
      </c>
      <c r="B34" s="8">
        <v>39.157894736842103</v>
      </c>
      <c r="C34" s="2">
        <f t="shared" si="0"/>
        <v>1112.9085872576177</v>
      </c>
      <c r="D34" s="3" t="s">
        <v>18</v>
      </c>
    </row>
    <row r="35" spans="1:4" x14ac:dyDescent="0.45">
      <c r="A35" s="8">
        <v>34.555555555555557</v>
      </c>
      <c r="B35" s="8">
        <v>36.555555555555557</v>
      </c>
      <c r="C35" s="2">
        <f t="shared" si="0"/>
        <v>1263.1975308641977</v>
      </c>
      <c r="D35" s="3" t="s">
        <v>18</v>
      </c>
    </row>
    <row r="36" spans="1:4" x14ac:dyDescent="0.45">
      <c r="A36" s="8">
        <v>44</v>
      </c>
      <c r="B36" s="8">
        <v>35</v>
      </c>
      <c r="C36" s="2">
        <f t="shared" si="0"/>
        <v>1540</v>
      </c>
      <c r="D36" s="3" t="s">
        <v>18</v>
      </c>
    </row>
    <row r="37" spans="1:4" x14ac:dyDescent="0.45">
      <c r="A37" s="8">
        <v>19.892473118279568</v>
      </c>
      <c r="B37" s="8">
        <v>33.413978494623656</v>
      </c>
      <c r="C37" s="2">
        <f t="shared" si="0"/>
        <v>664.68666897907269</v>
      </c>
      <c r="D37" s="4" t="s">
        <v>19</v>
      </c>
    </row>
    <row r="38" spans="1:4" x14ac:dyDescent="0.45">
      <c r="A38" s="8">
        <v>19.118136439267886</v>
      </c>
      <c r="B38" s="8">
        <v>24.625623960066555</v>
      </c>
      <c r="C38" s="2">
        <f t="shared" si="0"/>
        <v>470.79603877065676</v>
      </c>
      <c r="D38" s="4" t="s">
        <v>19</v>
      </c>
    </row>
    <row r="39" spans="1:4" x14ac:dyDescent="0.45">
      <c r="A39" s="9">
        <v>12.3</v>
      </c>
      <c r="B39" s="9">
        <v>28.6</v>
      </c>
      <c r="C39" s="2">
        <f t="shared" si="0"/>
        <v>351.78000000000003</v>
      </c>
      <c r="D39" s="4" t="s">
        <v>19</v>
      </c>
    </row>
    <row r="40" spans="1:4" x14ac:dyDescent="0.45">
      <c r="A40" s="9">
        <v>13.3</v>
      </c>
      <c r="B40" s="9">
        <v>30.3</v>
      </c>
      <c r="C40" s="2">
        <f t="shared" si="0"/>
        <v>402.99</v>
      </c>
      <c r="D40" s="4" t="s">
        <v>19</v>
      </c>
    </row>
    <row r="41" spans="1:4" x14ac:dyDescent="0.45">
      <c r="A41" s="9">
        <v>12.1</v>
      </c>
      <c r="B41" s="9">
        <v>26.5</v>
      </c>
      <c r="C41" s="2">
        <f t="shared" si="0"/>
        <v>320.64999999999998</v>
      </c>
      <c r="D41" s="4" t="s">
        <v>19</v>
      </c>
    </row>
    <row r="42" spans="1:4" x14ac:dyDescent="0.45">
      <c r="A42" s="9">
        <v>12.2</v>
      </c>
      <c r="B42" s="9">
        <v>27.2</v>
      </c>
      <c r="C42" s="2">
        <f t="shared" si="0"/>
        <v>331.84</v>
      </c>
      <c r="D42" s="4" t="s">
        <v>19</v>
      </c>
    </row>
    <row r="43" spans="1:4" x14ac:dyDescent="0.45">
      <c r="A43" s="9">
        <v>12.5</v>
      </c>
      <c r="B43" s="9">
        <v>27.5</v>
      </c>
      <c r="C43" s="2">
        <f t="shared" si="0"/>
        <v>343.75</v>
      </c>
      <c r="D43" s="4" t="s">
        <v>19</v>
      </c>
    </row>
    <row r="44" spans="1:4" x14ac:dyDescent="0.45">
      <c r="A44" s="9">
        <v>12.7</v>
      </c>
      <c r="B44" s="9">
        <v>29.8</v>
      </c>
      <c r="C44" s="2">
        <f t="shared" si="0"/>
        <v>378.46</v>
      </c>
      <c r="D44" s="4" t="s">
        <v>19</v>
      </c>
    </row>
    <row r="45" spans="1:4" x14ac:dyDescent="0.45">
      <c r="A45" s="9">
        <v>6.8829113924050631</v>
      </c>
      <c r="B45" s="9">
        <v>5.443037974683544</v>
      </c>
      <c r="C45" s="2">
        <f t="shared" si="0"/>
        <v>37.463948085242748</v>
      </c>
      <c r="D45" s="4" t="s">
        <v>19</v>
      </c>
    </row>
    <row r="46" spans="1:4" x14ac:dyDescent="0.45">
      <c r="A46" s="9">
        <v>20.527045769764218</v>
      </c>
      <c r="B46" s="9">
        <v>16.234396671289876</v>
      </c>
      <c r="C46" s="2">
        <f t="shared" si="0"/>
        <v>333.24420351607512</v>
      </c>
      <c r="D46" s="4" t="s">
        <v>19</v>
      </c>
    </row>
    <row r="47" spans="1:4" x14ac:dyDescent="0.45">
      <c r="A47" s="9">
        <v>15.392385392385394</v>
      </c>
      <c r="B47" s="9">
        <v>14.180264180264182</v>
      </c>
      <c r="C47" s="2">
        <f t="shared" si="0"/>
        <v>218.26809122846424</v>
      </c>
      <c r="D47" s="4" t="s">
        <v>19</v>
      </c>
    </row>
    <row r="48" spans="1:4" x14ac:dyDescent="0.45">
      <c r="A48" s="9">
        <v>18.79382889200561</v>
      </c>
      <c r="B48" s="9">
        <v>23.352033660589061</v>
      </c>
      <c r="C48" s="2">
        <f t="shared" si="0"/>
        <v>438.87412489746623</v>
      </c>
      <c r="D48" s="4" t="s">
        <v>19</v>
      </c>
    </row>
    <row r="49" spans="1:4" x14ac:dyDescent="0.45">
      <c r="A49" s="8">
        <v>11.74</v>
      </c>
      <c r="B49" s="8">
        <v>41.86</v>
      </c>
      <c r="C49" s="2">
        <f t="shared" si="0"/>
        <v>491.43639999999999</v>
      </c>
      <c r="D49" s="4" t="s">
        <v>19</v>
      </c>
    </row>
    <row r="50" spans="1:4" x14ac:dyDescent="0.45">
      <c r="A50" s="8">
        <v>14.65</v>
      </c>
      <c r="B50" s="8">
        <v>39.18</v>
      </c>
      <c r="C50" s="2">
        <f t="shared" si="0"/>
        <v>573.98699999999997</v>
      </c>
      <c r="D50" s="4" t="s">
        <v>19</v>
      </c>
    </row>
    <row r="51" spans="1:4" x14ac:dyDescent="0.45">
      <c r="A51" s="8">
        <v>14.13</v>
      </c>
      <c r="B51" s="8">
        <v>41.82</v>
      </c>
      <c r="C51" s="2">
        <f t="shared" si="0"/>
        <v>590.91660000000002</v>
      </c>
      <c r="D51" s="4" t="s">
        <v>19</v>
      </c>
    </row>
    <row r="52" spans="1:4" x14ac:dyDescent="0.45">
      <c r="A52" s="8">
        <v>14.23</v>
      </c>
      <c r="B52" s="8">
        <v>39.75</v>
      </c>
      <c r="C52" s="2">
        <f t="shared" si="0"/>
        <v>565.64250000000004</v>
      </c>
      <c r="D52" s="4" t="s">
        <v>19</v>
      </c>
    </row>
    <row r="53" spans="1:4" x14ac:dyDescent="0.45">
      <c r="A53" s="8">
        <v>11.91</v>
      </c>
      <c r="B53" s="8">
        <v>39.35</v>
      </c>
      <c r="C53" s="2">
        <f t="shared" si="0"/>
        <v>468.6585</v>
      </c>
      <c r="D53" s="4" t="s">
        <v>19</v>
      </c>
    </row>
    <row r="54" spans="1:4" x14ac:dyDescent="0.45">
      <c r="A54" s="8">
        <v>13.71</v>
      </c>
      <c r="B54" s="8">
        <v>38.42</v>
      </c>
      <c r="C54" s="2">
        <f t="shared" si="0"/>
        <v>526.73820000000001</v>
      </c>
      <c r="D54" s="4" t="s">
        <v>19</v>
      </c>
    </row>
    <row r="55" spans="1:4" x14ac:dyDescent="0.45">
      <c r="A55" s="8">
        <v>11.93</v>
      </c>
      <c r="B55" s="8">
        <v>39.25</v>
      </c>
      <c r="C55" s="2">
        <f t="shared" si="0"/>
        <v>468.2525</v>
      </c>
      <c r="D55" s="4" t="s">
        <v>19</v>
      </c>
    </row>
    <row r="56" spans="1:4" x14ac:dyDescent="0.45">
      <c r="A56" s="8">
        <v>11.84</v>
      </c>
      <c r="B56" s="8">
        <v>36.36</v>
      </c>
      <c r="C56" s="2">
        <f t="shared" si="0"/>
        <v>430.50239999999997</v>
      </c>
      <c r="D56" s="4" t="s">
        <v>19</v>
      </c>
    </row>
    <row r="57" spans="1:4" x14ac:dyDescent="0.45">
      <c r="A57" s="8">
        <v>5.24</v>
      </c>
      <c r="B57" s="8">
        <v>31.96</v>
      </c>
      <c r="C57" s="2">
        <f t="shared" si="0"/>
        <v>167.47040000000001</v>
      </c>
      <c r="D57" s="4" t="s">
        <v>19</v>
      </c>
    </row>
    <row r="58" spans="1:4" x14ac:dyDescent="0.45">
      <c r="A58" s="8">
        <v>9.99</v>
      </c>
      <c r="B58" s="8">
        <v>36.97</v>
      </c>
      <c r="C58" s="2">
        <f t="shared" si="0"/>
        <v>369.33030000000002</v>
      </c>
      <c r="D58" s="4" t="s">
        <v>19</v>
      </c>
    </row>
    <row r="59" spans="1:4" x14ac:dyDescent="0.45">
      <c r="A59" s="8">
        <v>8.7899999999999991</v>
      </c>
      <c r="B59" s="8">
        <v>33.799999999999997</v>
      </c>
      <c r="C59" s="2">
        <f t="shared" si="0"/>
        <v>297.10199999999992</v>
      </c>
      <c r="D59" s="4" t="s">
        <v>19</v>
      </c>
    </row>
    <row r="60" spans="1:4" x14ac:dyDescent="0.45">
      <c r="A60" s="8">
        <v>11.37</v>
      </c>
      <c r="B60" s="8">
        <v>34.46</v>
      </c>
      <c r="C60" s="2">
        <f t="shared" si="0"/>
        <v>391.81020000000001</v>
      </c>
      <c r="D60" s="4" t="s">
        <v>19</v>
      </c>
    </row>
    <row r="61" spans="1:4" x14ac:dyDescent="0.45">
      <c r="A61" s="8">
        <v>8.89</v>
      </c>
      <c r="B61" s="8">
        <v>41.95</v>
      </c>
      <c r="C61" s="2">
        <f t="shared" si="0"/>
        <v>372.93550000000005</v>
      </c>
      <c r="D61" s="4" t="s">
        <v>19</v>
      </c>
    </row>
    <row r="62" spans="1:4" x14ac:dyDescent="0.45">
      <c r="A62" s="8">
        <v>11.12</v>
      </c>
      <c r="B62" s="8">
        <v>39.43</v>
      </c>
      <c r="C62" s="2">
        <f t="shared" si="0"/>
        <v>438.46159999999998</v>
      </c>
      <c r="D62" s="4" t="s">
        <v>19</v>
      </c>
    </row>
    <row r="63" spans="1:4" x14ac:dyDescent="0.45">
      <c r="A63" s="8">
        <v>11.45</v>
      </c>
      <c r="B63" s="8">
        <v>43.64</v>
      </c>
      <c r="C63" s="2">
        <f t="shared" si="0"/>
        <v>499.678</v>
      </c>
      <c r="D63" s="4" t="s">
        <v>19</v>
      </c>
    </row>
    <row r="64" spans="1:4" x14ac:dyDescent="0.45">
      <c r="A64" s="8">
        <v>11.72</v>
      </c>
      <c r="B64" s="8">
        <v>42.64</v>
      </c>
      <c r="C64" s="2">
        <f t="shared" si="0"/>
        <v>499.74080000000004</v>
      </c>
      <c r="D64" s="4" t="s">
        <v>19</v>
      </c>
    </row>
    <row r="65" spans="1:4" x14ac:dyDescent="0.45">
      <c r="A65" s="9">
        <v>12.848158131176998</v>
      </c>
      <c r="B65" s="9">
        <v>18.373764600179694</v>
      </c>
      <c r="C65" s="2">
        <f t="shared" si="0"/>
        <v>236.06903304813082</v>
      </c>
      <c r="D65" s="4" t="s">
        <v>19</v>
      </c>
    </row>
    <row r="66" spans="1:4" x14ac:dyDescent="0.45">
      <c r="A66" s="9">
        <v>13.97273612463486</v>
      </c>
      <c r="B66" s="9">
        <v>25.559883154819865</v>
      </c>
      <c r="C66" s="2">
        <f t="shared" si="0"/>
        <v>357.14150269879758</v>
      </c>
      <c r="D66" s="4" t="s">
        <v>19</v>
      </c>
    </row>
    <row r="67" spans="1:4" x14ac:dyDescent="0.45">
      <c r="A67" s="9">
        <v>22.014742014742016</v>
      </c>
      <c r="B67" s="9">
        <v>29.14004914004914</v>
      </c>
      <c r="C67" s="2">
        <f t="shared" ref="C67:C130" si="1">A67*B67</f>
        <v>641.51066411508668</v>
      </c>
      <c r="D67" s="4" t="s">
        <v>19</v>
      </c>
    </row>
    <row r="68" spans="1:4" x14ac:dyDescent="0.45">
      <c r="A68" s="8">
        <v>15</v>
      </c>
      <c r="B68" s="8">
        <v>24</v>
      </c>
      <c r="C68" s="2">
        <f t="shared" si="1"/>
        <v>360</v>
      </c>
      <c r="D68" s="4" t="s">
        <v>19</v>
      </c>
    </row>
    <row r="69" spans="1:4" x14ac:dyDescent="0.45">
      <c r="A69" s="8">
        <v>15</v>
      </c>
      <c r="B69" s="8">
        <v>26</v>
      </c>
      <c r="C69" s="2">
        <f t="shared" si="1"/>
        <v>390</v>
      </c>
      <c r="D69" s="4" t="s">
        <v>19</v>
      </c>
    </row>
    <row r="70" spans="1:4" x14ac:dyDescent="0.45">
      <c r="A70" s="8">
        <v>13</v>
      </c>
      <c r="B70" s="8">
        <v>25</v>
      </c>
      <c r="C70" s="2">
        <f t="shared" si="1"/>
        <v>325</v>
      </c>
      <c r="D70" s="4" t="s">
        <v>19</v>
      </c>
    </row>
    <row r="71" spans="1:4" x14ac:dyDescent="0.45">
      <c r="A71" s="8">
        <v>18</v>
      </c>
      <c r="B71" s="8">
        <v>28</v>
      </c>
      <c r="C71" s="2">
        <f t="shared" si="1"/>
        <v>504</v>
      </c>
      <c r="D71" s="4" t="s">
        <v>19</v>
      </c>
    </row>
    <row r="72" spans="1:4" x14ac:dyDescent="0.45">
      <c r="A72" s="8">
        <v>13</v>
      </c>
      <c r="B72" s="8">
        <v>37</v>
      </c>
      <c r="C72" s="2">
        <f t="shared" si="1"/>
        <v>481</v>
      </c>
      <c r="D72" s="4" t="s">
        <v>19</v>
      </c>
    </row>
    <row r="73" spans="1:4" x14ac:dyDescent="0.45">
      <c r="A73" s="8">
        <v>15.14</v>
      </c>
      <c r="B73" s="8">
        <v>29.6</v>
      </c>
      <c r="C73" s="2">
        <f t="shared" si="1"/>
        <v>448.14400000000006</v>
      </c>
      <c r="D73" s="4" t="s">
        <v>19</v>
      </c>
    </row>
    <row r="74" spans="1:4" x14ac:dyDescent="0.45">
      <c r="A74" s="8">
        <v>19.89</v>
      </c>
      <c r="B74" s="8">
        <v>31.74</v>
      </c>
      <c r="C74" s="2">
        <f t="shared" si="1"/>
        <v>631.30859999999996</v>
      </c>
      <c r="D74" s="4" t="s">
        <v>19</v>
      </c>
    </row>
    <row r="75" spans="1:4" x14ac:dyDescent="0.45">
      <c r="A75" s="8">
        <v>19.45</v>
      </c>
      <c r="B75" s="8">
        <v>32.880000000000003</v>
      </c>
      <c r="C75" s="2">
        <f t="shared" si="1"/>
        <v>639.51600000000008</v>
      </c>
      <c r="D75" s="4" t="s">
        <v>19</v>
      </c>
    </row>
    <row r="76" spans="1:4" x14ac:dyDescent="0.45">
      <c r="A76" s="8">
        <v>19.399999999999999</v>
      </c>
      <c r="B76" s="8">
        <v>31.42</v>
      </c>
      <c r="C76" s="2">
        <f t="shared" si="1"/>
        <v>609.548</v>
      </c>
      <c r="D76" s="4" t="s">
        <v>19</v>
      </c>
    </row>
    <row r="77" spans="1:4" x14ac:dyDescent="0.45">
      <c r="A77" s="8">
        <v>18.21</v>
      </c>
      <c r="B77" s="8">
        <v>29.51</v>
      </c>
      <c r="C77" s="2">
        <f t="shared" si="1"/>
        <v>537.37710000000004</v>
      </c>
      <c r="D77" s="4" t="s">
        <v>19</v>
      </c>
    </row>
    <row r="78" spans="1:4" x14ac:dyDescent="0.45">
      <c r="A78" s="8">
        <v>17.38</v>
      </c>
      <c r="B78" s="8">
        <v>30.42</v>
      </c>
      <c r="C78" s="2">
        <f t="shared" si="1"/>
        <v>528.69960000000003</v>
      </c>
      <c r="D78" s="4" t="s">
        <v>19</v>
      </c>
    </row>
    <row r="79" spans="1:4" x14ac:dyDescent="0.45">
      <c r="A79" s="8">
        <v>15.36</v>
      </c>
      <c r="B79" s="8">
        <v>30.48</v>
      </c>
      <c r="C79" s="2">
        <f t="shared" si="1"/>
        <v>468.1728</v>
      </c>
      <c r="D79" s="4" t="s">
        <v>19</v>
      </c>
    </row>
    <row r="80" spans="1:4" x14ac:dyDescent="0.45">
      <c r="A80" s="8">
        <v>15.93</v>
      </c>
      <c r="B80" s="8">
        <v>31.05</v>
      </c>
      <c r="C80" s="2">
        <f t="shared" si="1"/>
        <v>494.62650000000002</v>
      </c>
      <c r="D80" s="4" t="s">
        <v>19</v>
      </c>
    </row>
    <row r="81" spans="1:4" x14ac:dyDescent="0.45">
      <c r="A81" s="8">
        <v>14.75</v>
      </c>
      <c r="B81" s="8">
        <v>27.89</v>
      </c>
      <c r="C81" s="2">
        <f t="shared" si="1"/>
        <v>411.3775</v>
      </c>
      <c r="D81" s="4" t="s">
        <v>19</v>
      </c>
    </row>
    <row r="82" spans="1:4" x14ac:dyDescent="0.45">
      <c r="A82" s="8">
        <v>21.71</v>
      </c>
      <c r="B82" s="8">
        <v>32.46</v>
      </c>
      <c r="C82" s="2">
        <f t="shared" si="1"/>
        <v>704.70660000000009</v>
      </c>
      <c r="D82" s="4" t="s">
        <v>19</v>
      </c>
    </row>
    <row r="83" spans="1:4" x14ac:dyDescent="0.45">
      <c r="A83" s="8">
        <v>21.21</v>
      </c>
      <c r="B83" s="8">
        <v>34.78</v>
      </c>
      <c r="C83" s="2">
        <f t="shared" si="1"/>
        <v>737.68380000000002</v>
      </c>
      <c r="D83" s="4" t="s">
        <v>19</v>
      </c>
    </row>
    <row r="84" spans="1:4" x14ac:dyDescent="0.45">
      <c r="A84" s="8">
        <v>27.28</v>
      </c>
      <c r="B84" s="8">
        <v>25.87</v>
      </c>
      <c r="C84" s="2">
        <f t="shared" si="1"/>
        <v>705.73360000000002</v>
      </c>
      <c r="D84" s="4" t="s">
        <v>19</v>
      </c>
    </row>
    <row r="85" spans="1:4" x14ac:dyDescent="0.45">
      <c r="A85" s="8">
        <v>18.239999999999998</v>
      </c>
      <c r="B85" s="8">
        <v>26.16</v>
      </c>
      <c r="C85" s="2">
        <f t="shared" si="1"/>
        <v>477.15839999999997</v>
      </c>
      <c r="D85" s="4" t="s">
        <v>19</v>
      </c>
    </row>
    <row r="86" spans="1:4" x14ac:dyDescent="0.45">
      <c r="A86" s="8">
        <v>18.809999999999999</v>
      </c>
      <c r="B86" s="8">
        <v>27.9</v>
      </c>
      <c r="C86" s="2">
        <f t="shared" si="1"/>
        <v>524.79899999999998</v>
      </c>
      <c r="D86" s="4" t="s">
        <v>19</v>
      </c>
    </row>
    <row r="87" spans="1:4" x14ac:dyDescent="0.45">
      <c r="A87" s="8">
        <v>16.559999999999999</v>
      </c>
      <c r="B87" s="8">
        <v>29.75</v>
      </c>
      <c r="C87" s="2">
        <f t="shared" si="1"/>
        <v>492.65999999999997</v>
      </c>
      <c r="D87" s="4" t="s">
        <v>19</v>
      </c>
    </row>
    <row r="88" spans="1:4" x14ac:dyDescent="0.45">
      <c r="A88" s="8">
        <v>16.96</v>
      </c>
      <c r="B88" s="8">
        <v>30.4</v>
      </c>
      <c r="C88" s="2">
        <f t="shared" si="1"/>
        <v>515.58399999999995</v>
      </c>
      <c r="D88" s="4" t="s">
        <v>19</v>
      </c>
    </row>
    <row r="89" spans="1:4" x14ac:dyDescent="0.45">
      <c r="A89" s="9">
        <v>7.0758122743682312</v>
      </c>
      <c r="B89" s="9">
        <v>34.476534296028888</v>
      </c>
      <c r="C89" s="2">
        <f t="shared" si="1"/>
        <v>243.9494845495185</v>
      </c>
      <c r="D89" s="5" t="s">
        <v>18</v>
      </c>
    </row>
    <row r="90" spans="1:4" x14ac:dyDescent="0.45">
      <c r="A90" s="9">
        <v>1.6245487364620939</v>
      </c>
      <c r="B90" s="9">
        <v>41.335740072202164</v>
      </c>
      <c r="C90" s="2">
        <f t="shared" si="1"/>
        <v>67.151924305021566</v>
      </c>
      <c r="D90" s="5" t="s">
        <v>18</v>
      </c>
    </row>
    <row r="91" spans="1:4" x14ac:dyDescent="0.45">
      <c r="A91" s="9">
        <v>12.779783393501805</v>
      </c>
      <c r="B91" s="9">
        <v>40.216606498194949</v>
      </c>
      <c r="C91" s="2">
        <f t="shared" si="1"/>
        <v>513.9595198686286</v>
      </c>
      <c r="D91" s="5" t="s">
        <v>18</v>
      </c>
    </row>
    <row r="92" spans="1:4" x14ac:dyDescent="0.45">
      <c r="A92" s="9">
        <v>5.3429602888086647</v>
      </c>
      <c r="B92" s="9">
        <v>22.56317689530686</v>
      </c>
      <c r="C92" s="2">
        <f t="shared" si="1"/>
        <v>120.55415814098973</v>
      </c>
      <c r="D92" s="5" t="s">
        <v>18</v>
      </c>
    </row>
    <row r="93" spans="1:4" x14ac:dyDescent="0.45">
      <c r="A93" s="9">
        <v>17.333333333333332</v>
      </c>
      <c r="B93" s="9">
        <v>24.416666666666668</v>
      </c>
      <c r="C93" s="2">
        <f t="shared" si="1"/>
        <v>423.22222222222223</v>
      </c>
      <c r="D93" s="5" t="s">
        <v>18</v>
      </c>
    </row>
    <row r="94" spans="1:4" x14ac:dyDescent="0.45">
      <c r="A94" s="9">
        <v>18.249106687085249</v>
      </c>
      <c r="B94" s="9">
        <v>29.37723328228688</v>
      </c>
      <c r="C94" s="2">
        <f t="shared" si="1"/>
        <v>536.10826433984482</v>
      </c>
      <c r="D94" s="5" t="s">
        <v>18</v>
      </c>
    </row>
    <row r="95" spans="1:4" x14ac:dyDescent="0.45">
      <c r="A95" s="9">
        <v>22.485303723056823</v>
      </c>
      <c r="B95" s="9">
        <v>30.682560418027432</v>
      </c>
      <c r="C95" s="2">
        <f t="shared" si="1"/>
        <v>689.90669000038815</v>
      </c>
      <c r="D95" s="5" t="s">
        <v>18</v>
      </c>
    </row>
    <row r="96" spans="1:4" x14ac:dyDescent="0.45">
      <c r="A96" s="8">
        <v>16.298342541436462</v>
      </c>
      <c r="B96" s="8">
        <v>25.414364640883974</v>
      </c>
      <c r="C96" s="2">
        <f t="shared" si="1"/>
        <v>414.21202039009785</v>
      </c>
      <c r="D96" s="6" t="s">
        <v>19</v>
      </c>
    </row>
    <row r="97" spans="1:4" x14ac:dyDescent="0.45">
      <c r="A97" s="8">
        <v>22.099447513812152</v>
      </c>
      <c r="B97" s="8">
        <v>30.662983425414364</v>
      </c>
      <c r="C97" s="2">
        <f t="shared" si="1"/>
        <v>677.63499282683665</v>
      </c>
      <c r="D97" s="6" t="s">
        <v>19</v>
      </c>
    </row>
    <row r="98" spans="1:4" x14ac:dyDescent="0.45">
      <c r="A98" s="8">
        <v>20.44198895027624</v>
      </c>
      <c r="B98" s="8">
        <v>29.281767955801104</v>
      </c>
      <c r="C98" s="2">
        <f t="shared" si="1"/>
        <v>598.57757699703905</v>
      </c>
      <c r="D98" s="6" t="s">
        <v>19</v>
      </c>
    </row>
    <row r="99" spans="1:4" x14ac:dyDescent="0.45">
      <c r="A99" s="8">
        <v>17.679558011049721</v>
      </c>
      <c r="B99" s="8">
        <v>31.767955801104971</v>
      </c>
      <c r="C99" s="2">
        <f t="shared" si="1"/>
        <v>561.64341747809885</v>
      </c>
      <c r="D99" s="6" t="s">
        <v>19</v>
      </c>
    </row>
    <row r="100" spans="1:4" x14ac:dyDescent="0.45">
      <c r="A100" s="8">
        <v>18.508287292817677</v>
      </c>
      <c r="B100" s="8">
        <v>33.149171270718227</v>
      </c>
      <c r="C100" s="2">
        <f t="shared" si="1"/>
        <v>613.53438539727097</v>
      </c>
      <c r="D100" s="6" t="s">
        <v>19</v>
      </c>
    </row>
    <row r="101" spans="1:4" x14ac:dyDescent="0.45">
      <c r="A101" s="8">
        <v>22.958333333333332</v>
      </c>
      <c r="B101" s="8">
        <v>39.5</v>
      </c>
      <c r="C101" s="2">
        <f t="shared" si="1"/>
        <v>906.85416666666663</v>
      </c>
      <c r="D101" s="5" t="s">
        <v>18</v>
      </c>
    </row>
    <row r="102" spans="1:4" x14ac:dyDescent="0.45">
      <c r="A102" s="8">
        <v>21.148148148148149</v>
      </c>
      <c r="B102" s="8">
        <v>45.814814814814817</v>
      </c>
      <c r="C102" s="2">
        <f t="shared" si="1"/>
        <v>968.89849108367639</v>
      </c>
      <c r="D102" s="5" t="s">
        <v>18</v>
      </c>
    </row>
    <row r="103" spans="1:4" x14ac:dyDescent="0.45">
      <c r="A103" s="8">
        <v>21.28125</v>
      </c>
      <c r="B103" s="8">
        <v>46.21875</v>
      </c>
      <c r="C103" s="2">
        <f t="shared" si="1"/>
        <v>983.5927734375</v>
      </c>
      <c r="D103" s="5" t="s">
        <v>18</v>
      </c>
    </row>
    <row r="104" spans="1:4" x14ac:dyDescent="0.45">
      <c r="A104" s="8">
        <v>27.68888888888889</v>
      </c>
      <c r="B104" s="8">
        <v>46.444444444444443</v>
      </c>
      <c r="C104" s="2">
        <f t="shared" si="1"/>
        <v>1285.9950617283951</v>
      </c>
      <c r="D104" s="5" t="s">
        <v>18</v>
      </c>
    </row>
    <row r="105" spans="1:4" x14ac:dyDescent="0.45">
      <c r="A105" s="8">
        <v>24.975609756097562</v>
      </c>
      <c r="B105" s="8">
        <v>45.073170731707314</v>
      </c>
      <c r="C105" s="2">
        <f t="shared" si="1"/>
        <v>1125.7299226650803</v>
      </c>
      <c r="D105" s="5" t="s">
        <v>18</v>
      </c>
    </row>
    <row r="106" spans="1:4" x14ac:dyDescent="0.45">
      <c r="A106" s="8">
        <v>26.242424242424242</v>
      </c>
      <c r="B106" s="8">
        <v>42.363636363636367</v>
      </c>
      <c r="C106" s="2">
        <f t="shared" si="1"/>
        <v>1111.7245179063361</v>
      </c>
      <c r="D106" s="5" t="s">
        <v>18</v>
      </c>
    </row>
    <row r="107" spans="1:4" x14ac:dyDescent="0.45">
      <c r="A107" s="8">
        <v>5.9</v>
      </c>
      <c r="B107" s="8">
        <v>32.9</v>
      </c>
      <c r="C107" s="2">
        <f t="shared" si="1"/>
        <v>194.11</v>
      </c>
      <c r="D107" s="5" t="s">
        <v>18</v>
      </c>
    </row>
    <row r="108" spans="1:4" x14ac:dyDescent="0.45">
      <c r="A108" s="8">
        <v>11.7</v>
      </c>
      <c r="B108" s="8">
        <v>33.700000000000003</v>
      </c>
      <c r="C108" s="2">
        <f t="shared" si="1"/>
        <v>394.29</v>
      </c>
      <c r="D108" s="5" t="s">
        <v>18</v>
      </c>
    </row>
    <row r="109" spans="1:4" x14ac:dyDescent="0.45">
      <c r="A109" s="8">
        <v>22.1</v>
      </c>
      <c r="B109" s="8">
        <v>37.200000000000003</v>
      </c>
      <c r="C109" s="2">
        <f t="shared" si="1"/>
        <v>822.12000000000012</v>
      </c>
      <c r="D109" s="5" t="s">
        <v>18</v>
      </c>
    </row>
    <row r="110" spans="1:4" x14ac:dyDescent="0.45">
      <c r="A110" s="8">
        <v>36.799999999999997</v>
      </c>
      <c r="B110" s="8">
        <v>32.299999999999997</v>
      </c>
      <c r="C110" s="2">
        <f t="shared" si="1"/>
        <v>1188.6399999999999</v>
      </c>
      <c r="D110" s="5" t="s">
        <v>18</v>
      </c>
    </row>
    <row r="111" spans="1:4" x14ac:dyDescent="0.45">
      <c r="A111" s="8">
        <v>15.9</v>
      </c>
      <c r="B111" s="8">
        <v>31.7</v>
      </c>
      <c r="C111" s="2">
        <f t="shared" si="1"/>
        <v>504.03</v>
      </c>
      <c r="D111" s="5" t="s">
        <v>18</v>
      </c>
    </row>
    <row r="112" spans="1:4" x14ac:dyDescent="0.45">
      <c r="A112" s="8">
        <v>5.7</v>
      </c>
      <c r="B112" s="8">
        <v>20.399999999999999</v>
      </c>
      <c r="C112" s="2">
        <f t="shared" si="1"/>
        <v>116.28</v>
      </c>
      <c r="D112" s="5" t="s">
        <v>18</v>
      </c>
    </row>
    <row r="113" spans="1:4" x14ac:dyDescent="0.45">
      <c r="A113" s="8">
        <v>8.6999999999999993</v>
      </c>
      <c r="B113" s="8">
        <v>23.7</v>
      </c>
      <c r="C113" s="2">
        <f t="shared" si="1"/>
        <v>206.18999999999997</v>
      </c>
      <c r="D113" s="5" t="s">
        <v>18</v>
      </c>
    </row>
    <row r="114" spans="1:4" x14ac:dyDescent="0.45">
      <c r="A114" s="8">
        <v>13</v>
      </c>
      <c r="B114" s="8">
        <v>25.9</v>
      </c>
      <c r="C114" s="2">
        <f t="shared" si="1"/>
        <v>336.7</v>
      </c>
      <c r="D114" s="5" t="s">
        <v>18</v>
      </c>
    </row>
    <row r="115" spans="1:4" x14ac:dyDescent="0.45">
      <c r="A115" s="8">
        <v>3.5</v>
      </c>
      <c r="B115" s="8">
        <v>17.3</v>
      </c>
      <c r="C115" s="2">
        <f t="shared" si="1"/>
        <v>60.550000000000004</v>
      </c>
      <c r="D115" s="5" t="s">
        <v>18</v>
      </c>
    </row>
    <row r="116" spans="1:4" x14ac:dyDescent="0.45">
      <c r="A116" s="8">
        <v>26.625499455139845</v>
      </c>
      <c r="B116" s="8">
        <v>36.796222302942247</v>
      </c>
      <c r="C116" s="2">
        <f t="shared" si="1"/>
        <v>979.71779687819344</v>
      </c>
      <c r="D116" s="5" t="s">
        <v>18</v>
      </c>
    </row>
    <row r="117" spans="1:4" x14ac:dyDescent="0.45">
      <c r="A117" s="8">
        <v>19.268580416830517</v>
      </c>
      <c r="B117" s="8">
        <v>38.851749901690923</v>
      </c>
      <c r="C117" s="2">
        <f t="shared" si="1"/>
        <v>748.61806731531863</v>
      </c>
      <c r="D117" s="5" t="s">
        <v>18</v>
      </c>
    </row>
    <row r="118" spans="1:4" x14ac:dyDescent="0.45">
      <c r="A118" s="8">
        <v>22.747252747252748</v>
      </c>
      <c r="B118" s="8">
        <v>39.706959706959708</v>
      </c>
      <c r="C118" s="2">
        <f t="shared" si="1"/>
        <v>903.22424827919338</v>
      </c>
      <c r="D118" s="5" t="s">
        <v>18</v>
      </c>
    </row>
    <row r="119" spans="1:4" x14ac:dyDescent="0.45">
      <c r="A119" s="8">
        <v>25.752855659397714</v>
      </c>
      <c r="B119" s="8">
        <v>39.736933194877118</v>
      </c>
      <c r="C119" s="2">
        <f t="shared" si="1"/>
        <v>1023.3395049148</v>
      </c>
      <c r="D119" s="5" t="s">
        <v>18</v>
      </c>
    </row>
    <row r="120" spans="1:4" x14ac:dyDescent="0.45">
      <c r="A120" s="8">
        <v>21.445144182963208</v>
      </c>
      <c r="B120" s="8">
        <v>38.283062645011597</v>
      </c>
      <c r="C120" s="2">
        <f t="shared" si="1"/>
        <v>820.98579818768656</v>
      </c>
      <c r="D120" s="5" t="s">
        <v>18</v>
      </c>
    </row>
    <row r="121" spans="1:4" x14ac:dyDescent="0.45">
      <c r="A121" s="8">
        <v>21.960255978443918</v>
      </c>
      <c r="B121" s="8">
        <v>38.160996968676322</v>
      </c>
      <c r="C121" s="2">
        <f t="shared" si="1"/>
        <v>838.02526182475447</v>
      </c>
      <c r="D121" s="5" t="s">
        <v>18</v>
      </c>
    </row>
    <row r="122" spans="1:4" x14ac:dyDescent="0.45">
      <c r="A122" s="8">
        <v>24.116638078902231</v>
      </c>
      <c r="B122" s="8">
        <v>39.519725557461406</v>
      </c>
      <c r="C122" s="2">
        <f t="shared" si="1"/>
        <v>953.08291824683943</v>
      </c>
      <c r="D122" s="5" t="s">
        <v>18</v>
      </c>
    </row>
    <row r="123" spans="1:4" x14ac:dyDescent="0.45">
      <c r="A123" s="8">
        <v>20.642857142857142</v>
      </c>
      <c r="B123" s="8">
        <v>38.642857142857146</v>
      </c>
      <c r="C123" s="2">
        <f t="shared" si="1"/>
        <v>797.69897959183675</v>
      </c>
      <c r="D123" s="5" t="s">
        <v>18</v>
      </c>
    </row>
    <row r="124" spans="1:4" x14ac:dyDescent="0.45">
      <c r="A124" s="8">
        <v>27.437499999999996</v>
      </c>
      <c r="B124" s="8">
        <v>44</v>
      </c>
      <c r="C124" s="2">
        <f t="shared" si="1"/>
        <v>1207.2499999999998</v>
      </c>
      <c r="D124" s="5" t="s">
        <v>18</v>
      </c>
    </row>
    <row r="125" spans="1:4" x14ac:dyDescent="0.45">
      <c r="A125" s="8">
        <v>22</v>
      </c>
      <c r="B125" s="8">
        <v>37.085714285714289</v>
      </c>
      <c r="C125" s="2">
        <f t="shared" si="1"/>
        <v>815.88571428571436</v>
      </c>
      <c r="D125" s="5" t="s">
        <v>18</v>
      </c>
    </row>
    <row r="126" spans="1:4" x14ac:dyDescent="0.45">
      <c r="A126" s="8">
        <v>27.500000000000004</v>
      </c>
      <c r="B126" s="8">
        <v>38.841463414634148</v>
      </c>
      <c r="C126" s="2">
        <f t="shared" si="1"/>
        <v>1068.1402439024391</v>
      </c>
      <c r="D126" s="5" t="s">
        <v>18</v>
      </c>
    </row>
    <row r="127" spans="1:4" x14ac:dyDescent="0.45">
      <c r="A127" s="8">
        <v>29.5</v>
      </c>
      <c r="B127" s="8">
        <v>37.75</v>
      </c>
      <c r="C127" s="2">
        <f t="shared" si="1"/>
        <v>1113.625</v>
      </c>
      <c r="D127" s="5" t="s">
        <v>18</v>
      </c>
    </row>
    <row r="128" spans="1:4" x14ac:dyDescent="0.45">
      <c r="A128" s="8">
        <v>14.285714285714279</v>
      </c>
      <c r="B128" s="8">
        <v>28.571428571428569</v>
      </c>
      <c r="C128" s="2">
        <f t="shared" si="1"/>
        <v>408.16326530612224</v>
      </c>
      <c r="D128" s="5" t="s">
        <v>18</v>
      </c>
    </row>
    <row r="129" spans="1:4" x14ac:dyDescent="0.45">
      <c r="A129" s="8">
        <v>20</v>
      </c>
      <c r="B129" s="8">
        <v>24</v>
      </c>
      <c r="C129" s="2">
        <f t="shared" si="1"/>
        <v>480</v>
      </c>
      <c r="D129" s="5" t="s">
        <v>18</v>
      </c>
    </row>
    <row r="130" spans="1:4" x14ac:dyDescent="0.45">
      <c r="A130" s="8">
        <v>17.647058823529409</v>
      </c>
      <c r="B130" s="8">
        <v>23.52941176470588</v>
      </c>
      <c r="C130" s="2">
        <f t="shared" si="1"/>
        <v>415.22491349480958</v>
      </c>
      <c r="D130" s="5" t="s">
        <v>18</v>
      </c>
    </row>
    <row r="131" spans="1:4" x14ac:dyDescent="0.45">
      <c r="A131" s="8">
        <v>19.23076923076923</v>
      </c>
      <c r="B131" s="8">
        <v>22.11538461538461</v>
      </c>
      <c r="C131" s="2">
        <f t="shared" ref="C131:C194" si="2">A131*B131</f>
        <v>425.29585798816555</v>
      </c>
      <c r="D131" s="5" t="s">
        <v>18</v>
      </c>
    </row>
    <row r="132" spans="1:4" x14ac:dyDescent="0.45">
      <c r="A132" s="8">
        <v>21.36752136752137</v>
      </c>
      <c r="B132" s="8">
        <v>21.36752136752137</v>
      </c>
      <c r="C132" s="2">
        <f t="shared" si="2"/>
        <v>456.57096939148232</v>
      </c>
      <c r="D132" s="5" t="s">
        <v>18</v>
      </c>
    </row>
    <row r="133" spans="1:4" x14ac:dyDescent="0.45">
      <c r="A133" s="8">
        <v>22.388059701492541</v>
      </c>
      <c r="B133" s="8">
        <v>20.8955223880597</v>
      </c>
      <c r="C133" s="2">
        <f t="shared" si="2"/>
        <v>467.81020271775452</v>
      </c>
      <c r="D133" s="5" t="s">
        <v>18</v>
      </c>
    </row>
    <row r="134" spans="1:4" x14ac:dyDescent="0.45">
      <c r="A134" s="8">
        <v>20.68965517241379</v>
      </c>
      <c r="B134" s="8">
        <v>20.68965517241379</v>
      </c>
      <c r="C134" s="2">
        <f t="shared" si="2"/>
        <v>428.06183115338871</v>
      </c>
      <c r="D134" s="5" t="s">
        <v>18</v>
      </c>
    </row>
    <row r="135" spans="1:4" x14ac:dyDescent="0.45">
      <c r="A135" s="8">
        <v>20.64516129032258</v>
      </c>
      <c r="B135" s="8">
        <v>20</v>
      </c>
      <c r="C135" s="2">
        <f t="shared" si="2"/>
        <v>412.90322580645159</v>
      </c>
      <c r="D135" s="5" t="s">
        <v>18</v>
      </c>
    </row>
    <row r="136" spans="1:4" x14ac:dyDescent="0.45">
      <c r="A136" s="9">
        <v>12</v>
      </c>
      <c r="B136" s="9">
        <v>19</v>
      </c>
      <c r="C136" s="2">
        <f t="shared" si="2"/>
        <v>228</v>
      </c>
      <c r="D136" s="5" t="s">
        <v>18</v>
      </c>
    </row>
    <row r="137" spans="1:4" x14ac:dyDescent="0.45">
      <c r="A137" s="9">
        <v>13</v>
      </c>
      <c r="B137" s="9">
        <v>24</v>
      </c>
      <c r="C137" s="2">
        <f t="shared" si="2"/>
        <v>312</v>
      </c>
      <c r="D137" s="5" t="s">
        <v>18</v>
      </c>
    </row>
    <row r="138" spans="1:4" x14ac:dyDescent="0.45">
      <c r="A138" s="9">
        <v>17</v>
      </c>
      <c r="B138" s="9">
        <v>33</v>
      </c>
      <c r="C138" s="2">
        <f t="shared" si="2"/>
        <v>561</v>
      </c>
      <c r="D138" s="5" t="s">
        <v>18</v>
      </c>
    </row>
    <row r="139" spans="1:4" x14ac:dyDescent="0.45">
      <c r="A139" s="9">
        <v>15</v>
      </c>
      <c r="B139" s="9">
        <v>30</v>
      </c>
      <c r="C139" s="2">
        <f t="shared" si="2"/>
        <v>450</v>
      </c>
      <c r="D139" s="5" t="s">
        <v>18</v>
      </c>
    </row>
    <row r="140" spans="1:4" x14ac:dyDescent="0.45">
      <c r="A140" s="9">
        <v>11</v>
      </c>
      <c r="B140" s="9">
        <v>21</v>
      </c>
      <c r="C140" s="2">
        <f t="shared" si="2"/>
        <v>231</v>
      </c>
      <c r="D140" s="5" t="s">
        <v>18</v>
      </c>
    </row>
    <row r="141" spans="1:4" x14ac:dyDescent="0.45">
      <c r="A141" s="9">
        <v>13.6</v>
      </c>
      <c r="B141" s="9">
        <v>25.9</v>
      </c>
      <c r="C141" s="2">
        <f t="shared" si="2"/>
        <v>352.23999999999995</v>
      </c>
      <c r="D141" s="5" t="s">
        <v>19</v>
      </c>
    </row>
    <row r="142" spans="1:4" x14ac:dyDescent="0.45">
      <c r="A142" s="9">
        <v>12.8</v>
      </c>
      <c r="B142" s="9">
        <v>29.7</v>
      </c>
      <c r="C142" s="2">
        <f t="shared" si="2"/>
        <v>380.16</v>
      </c>
      <c r="D142" s="5" t="s">
        <v>19</v>
      </c>
    </row>
    <row r="143" spans="1:4" x14ac:dyDescent="0.45">
      <c r="A143" s="9">
        <v>11.7</v>
      </c>
      <c r="B143" s="9">
        <v>30.4</v>
      </c>
      <c r="C143" s="2">
        <f t="shared" si="2"/>
        <v>355.67999999999995</v>
      </c>
      <c r="D143" s="5" t="s">
        <v>19</v>
      </c>
    </row>
    <row r="144" spans="1:4" x14ac:dyDescent="0.45">
      <c r="A144" s="9">
        <v>11.1</v>
      </c>
      <c r="B144" s="9">
        <v>28.8</v>
      </c>
      <c r="C144" s="2">
        <f t="shared" si="2"/>
        <v>319.68</v>
      </c>
      <c r="D144" s="5" t="s">
        <v>19</v>
      </c>
    </row>
    <row r="145" spans="1:4" x14ac:dyDescent="0.45">
      <c r="A145" s="9">
        <v>9.6</v>
      </c>
      <c r="B145" s="9">
        <v>26.9</v>
      </c>
      <c r="C145" s="2">
        <f t="shared" si="2"/>
        <v>258.23999999999995</v>
      </c>
      <c r="D145" s="5" t="s">
        <v>19</v>
      </c>
    </row>
    <row r="146" spans="1:4" x14ac:dyDescent="0.45">
      <c r="A146" s="9">
        <v>6.7</v>
      </c>
      <c r="B146" s="9">
        <v>28.8</v>
      </c>
      <c r="C146" s="2">
        <f t="shared" si="2"/>
        <v>192.96</v>
      </c>
      <c r="D146" s="5" t="s">
        <v>19</v>
      </c>
    </row>
    <row r="147" spans="1:4" x14ac:dyDescent="0.45">
      <c r="A147" s="9">
        <v>8.5</v>
      </c>
      <c r="B147" s="9">
        <v>29.9</v>
      </c>
      <c r="C147" s="2">
        <f t="shared" si="2"/>
        <v>254.14999999999998</v>
      </c>
      <c r="D147" s="5" t="s">
        <v>19</v>
      </c>
    </row>
    <row r="148" spans="1:4" x14ac:dyDescent="0.45">
      <c r="A148" s="9">
        <v>13.4</v>
      </c>
      <c r="B148" s="9">
        <v>30.9</v>
      </c>
      <c r="C148" s="2">
        <f t="shared" si="2"/>
        <v>414.06</v>
      </c>
      <c r="D148" s="5" t="s">
        <v>19</v>
      </c>
    </row>
    <row r="149" spans="1:4" x14ac:dyDescent="0.45">
      <c r="A149" s="8">
        <v>3.8461538461538458</v>
      </c>
      <c r="B149" s="8">
        <v>23.076923076923077</v>
      </c>
      <c r="C149" s="2">
        <f t="shared" si="2"/>
        <v>88.757396449704132</v>
      </c>
      <c r="D149" s="5" t="s">
        <v>19</v>
      </c>
    </row>
    <row r="150" spans="1:4" x14ac:dyDescent="0.45">
      <c r="A150" s="8">
        <v>12.418300653594772</v>
      </c>
      <c r="B150" s="8">
        <v>13.071895424836601</v>
      </c>
      <c r="C150" s="2">
        <f t="shared" si="2"/>
        <v>162.33072749797086</v>
      </c>
      <c r="D150" s="5" t="s">
        <v>19</v>
      </c>
    </row>
    <row r="151" spans="1:4" x14ac:dyDescent="0.45">
      <c r="A151" s="8">
        <v>15.503875968992247</v>
      </c>
      <c r="B151" s="8">
        <v>16.279069767441861</v>
      </c>
      <c r="C151" s="2">
        <f t="shared" si="2"/>
        <v>252.38867856499007</v>
      </c>
      <c r="D151" s="5" t="s">
        <v>19</v>
      </c>
    </row>
    <row r="152" spans="1:4" x14ac:dyDescent="0.45">
      <c r="A152" s="8">
        <v>14.3</v>
      </c>
      <c r="B152" s="8">
        <v>11.9</v>
      </c>
      <c r="C152" s="2">
        <f t="shared" si="2"/>
        <v>170.17000000000002</v>
      </c>
      <c r="D152" s="5" t="s">
        <v>19</v>
      </c>
    </row>
    <row r="153" spans="1:4" x14ac:dyDescent="0.45">
      <c r="A153" s="8">
        <v>13.4</v>
      </c>
      <c r="B153" s="8">
        <v>18.23</v>
      </c>
      <c r="C153" s="2">
        <f t="shared" si="2"/>
        <v>244.28200000000001</v>
      </c>
      <c r="D153" s="5" t="s">
        <v>19</v>
      </c>
    </row>
    <row r="154" spans="1:4" x14ac:dyDescent="0.45">
      <c r="A154" s="8">
        <v>12.1</v>
      </c>
      <c r="B154" s="8">
        <v>25.6</v>
      </c>
      <c r="C154" s="2">
        <f t="shared" si="2"/>
        <v>309.76</v>
      </c>
      <c r="D154" s="5" t="s">
        <v>19</v>
      </c>
    </row>
    <row r="155" spans="1:4" x14ac:dyDescent="0.45">
      <c r="A155" s="8">
        <v>11.6</v>
      </c>
      <c r="B155" s="8">
        <v>14.5</v>
      </c>
      <c r="C155" s="2">
        <f t="shared" si="2"/>
        <v>168.2</v>
      </c>
      <c r="D155" s="5" t="s">
        <v>19</v>
      </c>
    </row>
    <row r="156" spans="1:4" x14ac:dyDescent="0.45">
      <c r="A156" s="8">
        <v>11.1</v>
      </c>
      <c r="B156" s="8">
        <v>14.3</v>
      </c>
      <c r="C156" s="2">
        <f t="shared" si="2"/>
        <v>158.72999999999999</v>
      </c>
      <c r="D156" s="5" t="s">
        <v>19</v>
      </c>
    </row>
    <row r="157" spans="1:4" x14ac:dyDescent="0.45">
      <c r="A157" s="8">
        <v>11.9</v>
      </c>
      <c r="B157" s="8">
        <v>15.8</v>
      </c>
      <c r="C157" s="2">
        <f t="shared" si="2"/>
        <v>188.02</v>
      </c>
      <c r="D157" s="5" t="s">
        <v>19</v>
      </c>
    </row>
    <row r="158" spans="1:4" x14ac:dyDescent="0.45">
      <c r="A158" s="9">
        <v>15.1</v>
      </c>
      <c r="B158" s="9">
        <v>22.6</v>
      </c>
      <c r="C158" s="2">
        <f t="shared" si="2"/>
        <v>341.26</v>
      </c>
      <c r="D158" s="5" t="s">
        <v>19</v>
      </c>
    </row>
    <row r="159" spans="1:4" x14ac:dyDescent="0.45">
      <c r="A159" s="9">
        <v>11.7</v>
      </c>
      <c r="B159" s="9">
        <v>21.6</v>
      </c>
      <c r="C159" s="2">
        <f t="shared" si="2"/>
        <v>252.72</v>
      </c>
      <c r="D159" s="5" t="s">
        <v>19</v>
      </c>
    </row>
    <row r="160" spans="1:4" x14ac:dyDescent="0.45">
      <c r="A160" s="9">
        <v>10.3</v>
      </c>
      <c r="B160" s="9">
        <v>19.899999999999999</v>
      </c>
      <c r="C160" s="2">
        <f t="shared" si="2"/>
        <v>204.97</v>
      </c>
      <c r="D160" s="5" t="s">
        <v>19</v>
      </c>
    </row>
    <row r="161" spans="1:4" x14ac:dyDescent="0.45">
      <c r="A161" s="9">
        <v>10.9</v>
      </c>
      <c r="B161" s="9">
        <v>19</v>
      </c>
      <c r="C161" s="2">
        <f t="shared" si="2"/>
        <v>207.1</v>
      </c>
      <c r="D161" s="5" t="s">
        <v>19</v>
      </c>
    </row>
    <row r="162" spans="1:4" x14ac:dyDescent="0.45">
      <c r="A162" s="9">
        <v>10.9</v>
      </c>
      <c r="B162" s="9">
        <v>20</v>
      </c>
      <c r="C162" s="2">
        <f t="shared" si="2"/>
        <v>218</v>
      </c>
      <c r="D162" s="5" t="s">
        <v>19</v>
      </c>
    </row>
    <row r="163" spans="1:4" x14ac:dyDescent="0.45">
      <c r="A163" s="8">
        <v>2</v>
      </c>
      <c r="B163" s="8">
        <v>4</v>
      </c>
      <c r="C163" s="2">
        <f t="shared" si="2"/>
        <v>8</v>
      </c>
      <c r="D163" s="6" t="s">
        <v>18</v>
      </c>
    </row>
    <row r="164" spans="1:4" x14ac:dyDescent="0.45">
      <c r="A164" s="8">
        <v>7.5</v>
      </c>
      <c r="B164" s="8">
        <v>12.4</v>
      </c>
      <c r="C164" s="2">
        <f t="shared" si="2"/>
        <v>93</v>
      </c>
      <c r="D164" s="6" t="s">
        <v>18</v>
      </c>
    </row>
    <row r="165" spans="1:4" x14ac:dyDescent="0.45">
      <c r="A165" s="8">
        <v>7</v>
      </c>
      <c r="B165" s="8">
        <v>14.2</v>
      </c>
      <c r="C165" s="2">
        <f t="shared" si="2"/>
        <v>99.399999999999991</v>
      </c>
      <c r="D165" s="6" t="s">
        <v>18</v>
      </c>
    </row>
    <row r="166" spans="1:4" x14ac:dyDescent="0.45">
      <c r="A166" s="8">
        <v>18</v>
      </c>
      <c r="B166" s="8">
        <v>22.5</v>
      </c>
      <c r="C166" s="2">
        <f t="shared" si="2"/>
        <v>405</v>
      </c>
      <c r="D166" s="6" t="s">
        <v>18</v>
      </c>
    </row>
    <row r="167" spans="1:4" x14ac:dyDescent="0.45">
      <c r="A167" s="8">
        <v>16.329999999999998</v>
      </c>
      <c r="B167" s="8">
        <v>25.87</v>
      </c>
      <c r="C167" s="2">
        <f t="shared" si="2"/>
        <v>422.45709999999997</v>
      </c>
      <c r="D167" s="6" t="s">
        <v>18</v>
      </c>
    </row>
    <row r="168" spans="1:4" x14ac:dyDescent="0.45">
      <c r="A168" s="8">
        <v>18.149999999999999</v>
      </c>
      <c r="B168" s="8">
        <v>28.85</v>
      </c>
      <c r="C168" s="2">
        <f t="shared" si="2"/>
        <v>523.62749999999994</v>
      </c>
      <c r="D168" s="6" t="s">
        <v>18</v>
      </c>
    </row>
    <row r="169" spans="1:4" x14ac:dyDescent="0.45">
      <c r="A169" s="8">
        <v>15.7</v>
      </c>
      <c r="B169" s="8">
        <v>26.77</v>
      </c>
      <c r="C169" s="2">
        <f t="shared" si="2"/>
        <v>420.28899999999999</v>
      </c>
      <c r="D169" s="6" t="s">
        <v>18</v>
      </c>
    </row>
    <row r="170" spans="1:4" x14ac:dyDescent="0.45">
      <c r="A170" s="9">
        <v>18.5</v>
      </c>
      <c r="B170" s="9">
        <v>29.3</v>
      </c>
      <c r="C170" s="2">
        <f t="shared" si="2"/>
        <v>542.05000000000007</v>
      </c>
      <c r="D170" s="5" t="s">
        <v>19</v>
      </c>
    </row>
    <row r="171" spans="1:4" x14ac:dyDescent="0.45">
      <c r="A171" s="9">
        <v>17</v>
      </c>
      <c r="B171" s="9">
        <v>31.5</v>
      </c>
      <c r="C171" s="2">
        <f t="shared" si="2"/>
        <v>535.5</v>
      </c>
      <c r="D171" s="5" t="s">
        <v>19</v>
      </c>
    </row>
    <row r="172" spans="1:4" x14ac:dyDescent="0.45">
      <c r="A172" s="9">
        <v>20.7</v>
      </c>
      <c r="B172" s="9">
        <v>29.5</v>
      </c>
      <c r="C172" s="2">
        <f t="shared" si="2"/>
        <v>610.65</v>
      </c>
      <c r="D172" s="5" t="s">
        <v>19</v>
      </c>
    </row>
    <row r="173" spans="1:4" x14ac:dyDescent="0.45">
      <c r="A173" s="9">
        <v>9.3167701863354022</v>
      </c>
      <c r="B173" s="9">
        <v>14.906832298136644</v>
      </c>
      <c r="C173" s="2">
        <f t="shared" si="2"/>
        <v>138.88353072798114</v>
      </c>
      <c r="D173" s="5" t="s">
        <v>19</v>
      </c>
    </row>
    <row r="174" spans="1:4" x14ac:dyDescent="0.45">
      <c r="A174" s="9">
        <v>8.9743589743589745</v>
      </c>
      <c r="B174" s="9">
        <v>17.52136752136752</v>
      </c>
      <c r="C174" s="2">
        <f t="shared" si="2"/>
        <v>157.24304185842647</v>
      </c>
      <c r="D174" s="5" t="s">
        <v>19</v>
      </c>
    </row>
    <row r="175" spans="1:4" x14ac:dyDescent="0.45">
      <c r="A175" s="9">
        <v>8.3003952569169961</v>
      </c>
      <c r="B175" s="9">
        <v>16.205533596837942</v>
      </c>
      <c r="C175" s="2">
        <f t="shared" si="2"/>
        <v>134.51233420300267</v>
      </c>
      <c r="D175" s="5" t="s">
        <v>19</v>
      </c>
    </row>
    <row r="176" spans="1:4" x14ac:dyDescent="0.45">
      <c r="A176" s="9">
        <v>7.216494845360824</v>
      </c>
      <c r="B176" s="9">
        <v>15.463917525773196</v>
      </c>
      <c r="C176" s="2">
        <f t="shared" si="2"/>
        <v>111.59528111382717</v>
      </c>
      <c r="D176" s="5" t="s">
        <v>19</v>
      </c>
    </row>
    <row r="177" spans="1:4" x14ac:dyDescent="0.45">
      <c r="A177" s="9">
        <v>9.2198581560283692</v>
      </c>
      <c r="B177" s="9">
        <v>16.666666666666668</v>
      </c>
      <c r="C177" s="2">
        <f t="shared" si="2"/>
        <v>153.66430260047284</v>
      </c>
      <c r="D177" s="5" t="s">
        <v>19</v>
      </c>
    </row>
    <row r="178" spans="1:4" x14ac:dyDescent="0.45">
      <c r="A178" s="9">
        <v>8.3941605839416056</v>
      </c>
      <c r="B178" s="9">
        <v>14.963503649635035</v>
      </c>
      <c r="C178" s="2">
        <f t="shared" si="2"/>
        <v>125.60605253343277</v>
      </c>
      <c r="D178" s="5" t="s">
        <v>19</v>
      </c>
    </row>
    <row r="179" spans="1:4" x14ac:dyDescent="0.45">
      <c r="A179" s="9">
        <v>9.5070422535211279</v>
      </c>
      <c r="B179" s="9">
        <v>15.140845070422536</v>
      </c>
      <c r="C179" s="2">
        <f t="shared" si="2"/>
        <v>143.94465383852412</v>
      </c>
      <c r="D179" s="5" t="s">
        <v>19</v>
      </c>
    </row>
    <row r="180" spans="1:4" x14ac:dyDescent="0.45">
      <c r="A180" s="8">
        <v>11.244979919678714</v>
      </c>
      <c r="B180" s="8">
        <v>28.16982214572576</v>
      </c>
      <c r="C180" s="2">
        <f t="shared" si="2"/>
        <v>316.7690843696069</v>
      </c>
      <c r="D180" s="5" t="s">
        <v>19</v>
      </c>
    </row>
    <row r="181" spans="1:4" x14ac:dyDescent="0.45">
      <c r="A181" s="8">
        <v>13.675213675213675</v>
      </c>
      <c r="B181" s="8">
        <v>35.78347578347578</v>
      </c>
      <c r="C181" s="2">
        <f t="shared" si="2"/>
        <v>489.34667738086534</v>
      </c>
      <c r="D181" s="5" t="s">
        <v>19</v>
      </c>
    </row>
    <row r="182" spans="1:4" x14ac:dyDescent="0.45">
      <c r="A182" s="8">
        <v>13.782051282051281</v>
      </c>
      <c r="B182" s="8">
        <v>36.538461538461533</v>
      </c>
      <c r="C182" s="2">
        <f t="shared" si="2"/>
        <v>503.57495069033519</v>
      </c>
      <c r="D182" s="5" t="s">
        <v>19</v>
      </c>
    </row>
    <row r="183" spans="1:4" x14ac:dyDescent="0.45">
      <c r="A183" s="8">
        <v>13.407407407407407</v>
      </c>
      <c r="B183" s="8">
        <v>35.333333333333329</v>
      </c>
      <c r="C183" s="2">
        <f t="shared" si="2"/>
        <v>473.72839506172829</v>
      </c>
      <c r="D183" s="5" t="s">
        <v>19</v>
      </c>
    </row>
    <row r="184" spans="1:4" x14ac:dyDescent="0.45">
      <c r="A184" s="9">
        <v>40.5</v>
      </c>
      <c r="B184" s="9">
        <v>0.1</v>
      </c>
      <c r="C184" s="2">
        <f t="shared" si="2"/>
        <v>4.05</v>
      </c>
      <c r="D184" s="5" t="s">
        <v>19</v>
      </c>
    </row>
    <row r="185" spans="1:4" x14ac:dyDescent="0.45">
      <c r="A185" s="9">
        <v>29.1</v>
      </c>
      <c r="B185" s="9">
        <v>62.2</v>
      </c>
      <c r="C185" s="2">
        <f t="shared" si="2"/>
        <v>1810.0200000000002</v>
      </c>
      <c r="D185" s="5" t="s">
        <v>19</v>
      </c>
    </row>
    <row r="186" spans="1:4" x14ac:dyDescent="0.45">
      <c r="A186" s="9">
        <v>43.3</v>
      </c>
      <c r="B186" s="9">
        <v>45.7</v>
      </c>
      <c r="C186" s="2">
        <f t="shared" si="2"/>
        <v>1978.81</v>
      </c>
      <c r="D186" s="5" t="s">
        <v>19</v>
      </c>
    </row>
    <row r="187" spans="1:4" x14ac:dyDescent="0.45">
      <c r="A187" s="9">
        <v>70.5</v>
      </c>
      <c r="B187" s="9">
        <v>26.5</v>
      </c>
      <c r="C187" s="2">
        <f t="shared" si="2"/>
        <v>1868.25</v>
      </c>
      <c r="D187" s="5" t="s">
        <v>19</v>
      </c>
    </row>
    <row r="188" spans="1:4" x14ac:dyDescent="0.45">
      <c r="A188" s="9">
        <v>45.5</v>
      </c>
      <c r="B188" s="9">
        <v>35.5</v>
      </c>
      <c r="C188" s="2">
        <f t="shared" si="2"/>
        <v>1615.25</v>
      </c>
      <c r="D188" s="5" t="s">
        <v>19</v>
      </c>
    </row>
    <row r="189" spans="1:4" x14ac:dyDescent="0.45">
      <c r="A189" s="9">
        <v>71.599999999999994</v>
      </c>
      <c r="B189" s="9">
        <v>25</v>
      </c>
      <c r="C189" s="2">
        <f t="shared" si="2"/>
        <v>1789.9999999999998</v>
      </c>
      <c r="D189" s="5" t="s">
        <v>19</v>
      </c>
    </row>
    <row r="190" spans="1:4" x14ac:dyDescent="0.45">
      <c r="A190" s="9">
        <v>66.8</v>
      </c>
      <c r="B190" s="9">
        <v>31.3</v>
      </c>
      <c r="C190" s="2">
        <f t="shared" si="2"/>
        <v>2090.84</v>
      </c>
      <c r="D190" s="5" t="s">
        <v>19</v>
      </c>
    </row>
    <row r="191" spans="1:4" x14ac:dyDescent="0.45">
      <c r="A191" s="9">
        <v>70.7</v>
      </c>
      <c r="B191" s="9">
        <v>27.4</v>
      </c>
      <c r="C191" s="2">
        <f t="shared" si="2"/>
        <v>1937.18</v>
      </c>
      <c r="D191" s="5" t="s">
        <v>19</v>
      </c>
    </row>
    <row r="192" spans="1:4" x14ac:dyDescent="0.45">
      <c r="A192" s="9">
        <v>63.5</v>
      </c>
      <c r="B192" s="9">
        <v>34.9</v>
      </c>
      <c r="C192" s="2">
        <f t="shared" si="2"/>
        <v>2216.15</v>
      </c>
      <c r="D192" s="5" t="s">
        <v>19</v>
      </c>
    </row>
    <row r="193" spans="1:4" x14ac:dyDescent="0.45">
      <c r="A193" s="9">
        <v>69.7</v>
      </c>
      <c r="B193" s="9">
        <v>28.9</v>
      </c>
      <c r="C193" s="2">
        <f t="shared" si="2"/>
        <v>2014.33</v>
      </c>
      <c r="D193" s="5" t="s">
        <v>19</v>
      </c>
    </row>
    <row r="194" spans="1:4" x14ac:dyDescent="0.45">
      <c r="A194" s="9">
        <v>8</v>
      </c>
      <c r="B194" s="9">
        <v>8</v>
      </c>
      <c r="C194" s="2">
        <f t="shared" si="2"/>
        <v>64</v>
      </c>
      <c r="D194" s="5" t="s">
        <v>18</v>
      </c>
    </row>
    <row r="195" spans="1:4" x14ac:dyDescent="0.45">
      <c r="A195" s="9">
        <v>5.6</v>
      </c>
      <c r="B195" s="9">
        <v>16.8</v>
      </c>
      <c r="C195" s="2">
        <f t="shared" ref="C195:C255" si="3">A195*B195</f>
        <v>94.08</v>
      </c>
      <c r="D195" s="5" t="s">
        <v>18</v>
      </c>
    </row>
    <row r="196" spans="1:4" x14ac:dyDescent="0.45">
      <c r="A196" s="9">
        <v>5.0999999999999996</v>
      </c>
      <c r="B196" s="9">
        <v>20.7</v>
      </c>
      <c r="C196" s="2">
        <f t="shared" si="3"/>
        <v>105.57</v>
      </c>
      <c r="D196" s="5" t="s">
        <v>18</v>
      </c>
    </row>
    <row r="197" spans="1:4" x14ac:dyDescent="0.45">
      <c r="A197" s="9">
        <v>4.8</v>
      </c>
      <c r="B197" s="9">
        <v>23</v>
      </c>
      <c r="C197" s="2">
        <f t="shared" si="3"/>
        <v>110.39999999999999</v>
      </c>
      <c r="D197" s="5" t="s">
        <v>18</v>
      </c>
    </row>
    <row r="198" spans="1:4" x14ac:dyDescent="0.45">
      <c r="A198" s="9">
        <v>5.4</v>
      </c>
      <c r="B198" s="9">
        <v>17.5</v>
      </c>
      <c r="C198" s="2">
        <f t="shared" si="3"/>
        <v>94.5</v>
      </c>
      <c r="D198" s="5" t="s">
        <v>18</v>
      </c>
    </row>
    <row r="199" spans="1:4" x14ac:dyDescent="0.45">
      <c r="A199" s="9">
        <v>11.152416356877325</v>
      </c>
      <c r="B199" s="9">
        <v>31.598513011152416</v>
      </c>
      <c r="C199" s="2">
        <f t="shared" si="3"/>
        <v>352.39977335857719</v>
      </c>
      <c r="D199" s="5" t="s">
        <v>19</v>
      </c>
    </row>
    <row r="200" spans="1:4" x14ac:dyDescent="0.45">
      <c r="A200" s="9">
        <v>13.888888888888889</v>
      </c>
      <c r="B200" s="9">
        <v>36.111111111111114</v>
      </c>
      <c r="C200" s="2">
        <f t="shared" si="3"/>
        <v>501.54320987654324</v>
      </c>
      <c r="D200" s="5" t="s">
        <v>19</v>
      </c>
    </row>
    <row r="201" spans="1:4" x14ac:dyDescent="0.45">
      <c r="A201" s="9">
        <v>20.289855072463769</v>
      </c>
      <c r="B201" s="9">
        <v>34.782608695652172</v>
      </c>
      <c r="C201" s="2">
        <f t="shared" si="3"/>
        <v>705.73408947700068</v>
      </c>
      <c r="D201" s="5" t="s">
        <v>19</v>
      </c>
    </row>
    <row r="202" spans="1:4" x14ac:dyDescent="0.45">
      <c r="A202" s="9">
        <v>20.491803278688526</v>
      </c>
      <c r="B202" s="9">
        <v>40.983606557377051</v>
      </c>
      <c r="C202" s="2">
        <f t="shared" si="3"/>
        <v>839.82800322493961</v>
      </c>
      <c r="D202" s="5" t="s">
        <v>19</v>
      </c>
    </row>
    <row r="203" spans="1:4" x14ac:dyDescent="0.45">
      <c r="A203" s="9">
        <v>8.8441330998248695</v>
      </c>
      <c r="B203" s="9">
        <v>18.651488616462348</v>
      </c>
      <c r="C203" s="2">
        <f t="shared" si="3"/>
        <v>164.95624783386143</v>
      </c>
      <c r="D203" s="5" t="s">
        <v>19</v>
      </c>
    </row>
    <row r="204" spans="1:4" x14ac:dyDescent="0.45">
      <c r="A204" s="9">
        <v>10.032154340836012</v>
      </c>
      <c r="B204" s="9">
        <v>22.508038585209004</v>
      </c>
      <c r="C204" s="2">
        <f t="shared" si="3"/>
        <v>225.80411699630895</v>
      </c>
      <c r="D204" s="5" t="s">
        <v>19</v>
      </c>
    </row>
    <row r="205" spans="1:4" x14ac:dyDescent="0.45">
      <c r="A205" s="9">
        <v>11.017964071856287</v>
      </c>
      <c r="B205" s="9">
        <v>25.748502994011979</v>
      </c>
      <c r="C205" s="2">
        <f t="shared" si="3"/>
        <v>283.696080892108</v>
      </c>
      <c r="D205" s="5" t="s">
        <v>19</v>
      </c>
    </row>
    <row r="206" spans="1:4" x14ac:dyDescent="0.45">
      <c r="A206" s="9">
        <v>12.204472843450478</v>
      </c>
      <c r="B206" s="9">
        <v>28.178913738019169</v>
      </c>
      <c r="C206" s="2">
        <f t="shared" si="3"/>
        <v>343.90878747358857</v>
      </c>
      <c r="D206" s="5" t="s">
        <v>19</v>
      </c>
    </row>
    <row r="207" spans="1:4" x14ac:dyDescent="0.45">
      <c r="A207" s="9">
        <v>11.540785498489425</v>
      </c>
      <c r="B207" s="9">
        <v>19.57703927492447</v>
      </c>
      <c r="C207" s="2">
        <f t="shared" si="3"/>
        <v>225.93441096740625</v>
      </c>
      <c r="D207" s="5" t="s">
        <v>19</v>
      </c>
    </row>
    <row r="208" spans="1:4" x14ac:dyDescent="0.45">
      <c r="A208" s="9">
        <v>12.270220588235293</v>
      </c>
      <c r="B208" s="9">
        <v>25.045955882352938</v>
      </c>
      <c r="C208" s="2">
        <f t="shared" si="3"/>
        <v>307.31940351967989</v>
      </c>
      <c r="D208" s="5" t="s">
        <v>19</v>
      </c>
    </row>
    <row r="209" spans="1:4" x14ac:dyDescent="0.45">
      <c r="A209" s="9">
        <v>14.113597246127368</v>
      </c>
      <c r="B209" s="9">
        <v>27.366609294320138</v>
      </c>
      <c r="C209" s="2">
        <f t="shared" si="3"/>
        <v>386.24130157216035</v>
      </c>
      <c r="D209" s="5" t="s">
        <v>19</v>
      </c>
    </row>
    <row r="210" spans="1:4" x14ac:dyDescent="0.45">
      <c r="A210" s="9">
        <v>14.53537936913896</v>
      </c>
      <c r="B210" s="9">
        <v>28.815004262574593</v>
      </c>
      <c r="C210" s="2">
        <f t="shared" si="3"/>
        <v>418.83701847987794</v>
      </c>
      <c r="D210" s="5" t="s">
        <v>19</v>
      </c>
    </row>
    <row r="211" spans="1:4" x14ac:dyDescent="0.45">
      <c r="A211" s="9">
        <v>11.820199778024417</v>
      </c>
      <c r="B211" s="9">
        <v>19.644839067702552</v>
      </c>
      <c r="C211" s="2">
        <f t="shared" si="3"/>
        <v>232.20592238738311</v>
      </c>
      <c r="D211" s="5" t="s">
        <v>19</v>
      </c>
    </row>
    <row r="212" spans="1:4" x14ac:dyDescent="0.45">
      <c r="A212" s="9">
        <v>14.663774403470715</v>
      </c>
      <c r="B212" s="9">
        <v>26.334056399132319</v>
      </c>
      <c r="C212" s="2">
        <f t="shared" si="3"/>
        <v>386.15666216515069</v>
      </c>
      <c r="D212" s="5" t="s">
        <v>19</v>
      </c>
    </row>
    <row r="213" spans="1:4" x14ac:dyDescent="0.45">
      <c r="A213" s="9">
        <v>15.88</v>
      </c>
      <c r="B213" s="9">
        <v>28.28</v>
      </c>
      <c r="C213" s="2">
        <f t="shared" si="3"/>
        <v>449.08640000000003</v>
      </c>
      <c r="D213" s="5" t="s">
        <v>19</v>
      </c>
    </row>
    <row r="214" spans="1:4" x14ac:dyDescent="0.45">
      <c r="A214" s="9">
        <v>17.035843737414421</v>
      </c>
      <c r="B214" s="9">
        <v>29.601288763592432</v>
      </c>
      <c r="C214" s="2">
        <f t="shared" si="3"/>
        <v>504.282929802642</v>
      </c>
      <c r="D214" s="5" t="s">
        <v>19</v>
      </c>
    </row>
    <row r="215" spans="1:4" x14ac:dyDescent="0.45">
      <c r="A215" s="9">
        <v>14.388489208633093</v>
      </c>
      <c r="B215" s="9">
        <v>21.250691754288876</v>
      </c>
      <c r="C215" s="2">
        <f t="shared" si="3"/>
        <v>305.76534898257376</v>
      </c>
      <c r="D215" s="5" t="s">
        <v>19</v>
      </c>
    </row>
    <row r="216" spans="1:4" x14ac:dyDescent="0.45">
      <c r="A216" s="9">
        <v>17.72364552708946</v>
      </c>
      <c r="B216" s="9">
        <v>26.501469970600589</v>
      </c>
      <c r="C216" s="2">
        <f t="shared" si="3"/>
        <v>469.70265970573075</v>
      </c>
      <c r="D216" s="5" t="s">
        <v>19</v>
      </c>
    </row>
    <row r="217" spans="1:4" x14ac:dyDescent="0.45">
      <c r="A217" s="9">
        <v>19.021948402002312</v>
      </c>
      <c r="B217" s="9">
        <v>28.340392760877936</v>
      </c>
      <c r="C217" s="2">
        <f t="shared" si="3"/>
        <v>539.08948878989997</v>
      </c>
      <c r="D217" s="5" t="s">
        <v>19</v>
      </c>
    </row>
    <row r="218" spans="1:4" x14ac:dyDescent="0.45">
      <c r="A218" s="9">
        <v>20.409741012756086</v>
      </c>
      <c r="B218" s="9">
        <v>29.686896018554307</v>
      </c>
      <c r="C218" s="2">
        <f t="shared" si="3"/>
        <v>605.90185921131319</v>
      </c>
      <c r="D218" s="5" t="s">
        <v>19</v>
      </c>
    </row>
    <row r="219" spans="1:4" x14ac:dyDescent="0.45">
      <c r="A219" s="4">
        <v>10</v>
      </c>
      <c r="B219" s="4">
        <v>28</v>
      </c>
      <c r="C219" s="2">
        <f t="shared" si="3"/>
        <v>280</v>
      </c>
      <c r="D219" s="5" t="s">
        <v>19</v>
      </c>
    </row>
    <row r="220" spans="1:4" x14ac:dyDescent="0.45">
      <c r="A220" s="4">
        <v>12</v>
      </c>
      <c r="B220" s="4">
        <v>25.8</v>
      </c>
      <c r="C220" s="2">
        <f t="shared" si="3"/>
        <v>309.60000000000002</v>
      </c>
      <c r="D220" s="5" t="s">
        <v>19</v>
      </c>
    </row>
    <row r="221" spans="1:4" x14ac:dyDescent="0.45">
      <c r="A221" s="4">
        <v>11.2</v>
      </c>
      <c r="B221" s="4">
        <v>24.5</v>
      </c>
      <c r="C221" s="2">
        <f t="shared" si="3"/>
        <v>274.39999999999998</v>
      </c>
      <c r="D221" s="5" t="s">
        <v>19</v>
      </c>
    </row>
    <row r="222" spans="1:4" x14ac:dyDescent="0.45">
      <c r="A222" s="4">
        <v>12</v>
      </c>
      <c r="B222" s="4">
        <v>25.1</v>
      </c>
      <c r="C222" s="2">
        <f t="shared" si="3"/>
        <v>301.20000000000005</v>
      </c>
      <c r="D222" s="5" t="s">
        <v>19</v>
      </c>
    </row>
    <row r="223" spans="1:4" x14ac:dyDescent="0.45">
      <c r="A223" s="4">
        <v>12.4</v>
      </c>
      <c r="B223" s="4">
        <v>25.3</v>
      </c>
      <c r="C223" s="2">
        <f t="shared" si="3"/>
        <v>313.72000000000003</v>
      </c>
      <c r="D223" s="5" t="s">
        <v>19</v>
      </c>
    </row>
    <row r="224" spans="1:4" x14ac:dyDescent="0.45">
      <c r="A224" s="4">
        <v>13.3</v>
      </c>
      <c r="B224" s="4">
        <v>26.3</v>
      </c>
      <c r="C224" s="2">
        <f t="shared" si="3"/>
        <v>349.79</v>
      </c>
      <c r="D224" s="5" t="s">
        <v>19</v>
      </c>
    </row>
    <row r="225" spans="1:4" x14ac:dyDescent="0.45">
      <c r="A225" s="4">
        <v>12.3</v>
      </c>
      <c r="B225" s="4">
        <v>25.6</v>
      </c>
      <c r="C225" s="2">
        <f t="shared" si="3"/>
        <v>314.88000000000005</v>
      </c>
      <c r="D225" s="5" t="s">
        <v>19</v>
      </c>
    </row>
    <row r="226" spans="1:4" x14ac:dyDescent="0.45">
      <c r="A226" s="4">
        <v>13.5</v>
      </c>
      <c r="B226" s="4">
        <v>26.2</v>
      </c>
      <c r="C226" s="2">
        <f t="shared" si="3"/>
        <v>353.7</v>
      </c>
      <c r="D226" s="5" t="s">
        <v>19</v>
      </c>
    </row>
    <row r="227" spans="1:4" x14ac:dyDescent="0.45">
      <c r="A227" s="4">
        <v>14.3</v>
      </c>
      <c r="B227" s="4">
        <v>25.9</v>
      </c>
      <c r="C227" s="2">
        <f t="shared" si="3"/>
        <v>370.37</v>
      </c>
      <c r="D227" s="5" t="s">
        <v>19</v>
      </c>
    </row>
    <row r="228" spans="1:4" x14ac:dyDescent="0.45">
      <c r="A228" s="4">
        <v>14.3</v>
      </c>
      <c r="B228" s="4">
        <v>27.8</v>
      </c>
      <c r="C228" s="2">
        <f t="shared" si="3"/>
        <v>397.54</v>
      </c>
      <c r="D228" s="5" t="s">
        <v>19</v>
      </c>
    </row>
    <row r="229" spans="1:4" x14ac:dyDescent="0.45">
      <c r="A229" s="4">
        <v>13.4</v>
      </c>
      <c r="B229" s="4">
        <v>27</v>
      </c>
      <c r="C229" s="2">
        <f t="shared" si="3"/>
        <v>361.8</v>
      </c>
      <c r="D229" s="5" t="s">
        <v>19</v>
      </c>
    </row>
    <row r="230" spans="1:4" x14ac:dyDescent="0.45">
      <c r="A230" s="4">
        <v>16.399999999999999</v>
      </c>
      <c r="B230" s="4">
        <v>29.4</v>
      </c>
      <c r="C230" s="2">
        <f t="shared" si="3"/>
        <v>482.15999999999991</v>
      </c>
      <c r="D230" s="5" t="s">
        <v>19</v>
      </c>
    </row>
    <row r="231" spans="1:4" x14ac:dyDescent="0.45">
      <c r="A231" s="4">
        <v>17.600000000000001</v>
      </c>
      <c r="B231" s="4">
        <v>29.1</v>
      </c>
      <c r="C231" s="2">
        <f t="shared" si="3"/>
        <v>512.16000000000008</v>
      </c>
      <c r="D231" s="5" t="s">
        <v>19</v>
      </c>
    </row>
    <row r="232" spans="1:4" x14ac:dyDescent="0.45">
      <c r="A232" s="9">
        <v>36.522670474830413</v>
      </c>
      <c r="B232" s="9">
        <v>33.438057836486962</v>
      </c>
      <c r="C232" s="2">
        <f t="shared" si="3"/>
        <v>1221.2471676803341</v>
      </c>
      <c r="D232" s="5" t="s">
        <v>18</v>
      </c>
    </row>
    <row r="233" spans="1:4" x14ac:dyDescent="0.45">
      <c r="A233" s="9">
        <v>28.092307692307696</v>
      </c>
      <c r="B233" s="9">
        <v>42.566153846153838</v>
      </c>
      <c r="C233" s="2">
        <f t="shared" si="3"/>
        <v>1195.7814911242604</v>
      </c>
      <c r="D233" s="5" t="s">
        <v>18</v>
      </c>
    </row>
    <row r="234" spans="1:4" x14ac:dyDescent="0.45">
      <c r="A234" s="9">
        <v>32.055391716886781</v>
      </c>
      <c r="B234" s="9">
        <v>38.754968585716114</v>
      </c>
      <c r="C234" s="2">
        <f t="shared" si="3"/>
        <v>1242.3056989907718</v>
      </c>
      <c r="D234" s="5" t="s">
        <v>18</v>
      </c>
    </row>
    <row r="235" spans="1:4" x14ac:dyDescent="0.45">
      <c r="A235" s="9">
        <v>37.121673412371507</v>
      </c>
      <c r="B235" s="9">
        <v>34.994090046205095</v>
      </c>
      <c r="C235" s="2">
        <f t="shared" si="3"/>
        <v>1299.0391820583461</v>
      </c>
      <c r="D235" s="5" t="s">
        <v>18</v>
      </c>
    </row>
    <row r="236" spans="1:4" x14ac:dyDescent="0.45">
      <c r="A236" s="9">
        <v>9.5484477892756363</v>
      </c>
      <c r="B236" s="9">
        <v>10.342191909689557</v>
      </c>
      <c r="C236" s="2">
        <f t="shared" si="3"/>
        <v>98.751879476339624</v>
      </c>
      <c r="D236" s="5" t="s">
        <v>19</v>
      </c>
    </row>
    <row r="237" spans="1:4" x14ac:dyDescent="0.45">
      <c r="A237" s="9">
        <v>15.900786656923009</v>
      </c>
      <c r="B237" s="9">
        <v>17.903967673988735</v>
      </c>
      <c r="C237" s="2">
        <f t="shared" si="3"/>
        <v>284.68717029654096</v>
      </c>
      <c r="D237" s="5" t="s">
        <v>19</v>
      </c>
    </row>
    <row r="238" spans="1:4" x14ac:dyDescent="0.45">
      <c r="A238" s="9">
        <v>13.671580759711611</v>
      </c>
      <c r="B238" s="9">
        <v>27.429247820940496</v>
      </c>
      <c r="C238" s="2">
        <f t="shared" si="3"/>
        <v>375.00117676213171</v>
      </c>
      <c r="D238" s="5" t="s">
        <v>19</v>
      </c>
    </row>
    <row r="239" spans="1:4" x14ac:dyDescent="0.45">
      <c r="A239" s="4">
        <v>23.22</v>
      </c>
      <c r="B239" s="4">
        <v>30.76</v>
      </c>
      <c r="C239" s="2">
        <f t="shared" si="3"/>
        <v>714.24720000000002</v>
      </c>
      <c r="D239" s="7" t="s">
        <v>18</v>
      </c>
    </row>
    <row r="240" spans="1:4" x14ac:dyDescent="0.45">
      <c r="A240" s="4">
        <v>20.65</v>
      </c>
      <c r="B240" s="4">
        <v>34.96</v>
      </c>
      <c r="C240" s="2">
        <f t="shared" si="3"/>
        <v>721.92399999999998</v>
      </c>
      <c r="D240" s="7" t="s">
        <v>18</v>
      </c>
    </row>
    <row r="241" spans="1:4" x14ac:dyDescent="0.45">
      <c r="A241" s="4">
        <v>18.5</v>
      </c>
      <c r="B241" s="4">
        <v>32.76</v>
      </c>
      <c r="C241" s="2">
        <f t="shared" si="3"/>
        <v>606.05999999999995</v>
      </c>
      <c r="D241" s="7" t="s">
        <v>18</v>
      </c>
    </row>
    <row r="242" spans="1:4" x14ac:dyDescent="0.45">
      <c r="A242" s="4">
        <v>16.345412490362374</v>
      </c>
      <c r="B242" s="4">
        <v>29.298380878951424</v>
      </c>
      <c r="C242" s="2">
        <f t="shared" si="3"/>
        <v>478.89412076620675</v>
      </c>
      <c r="D242" s="7" t="s">
        <v>18</v>
      </c>
    </row>
    <row r="243" spans="1:4" x14ac:dyDescent="0.45">
      <c r="A243" s="4">
        <v>36.276595744680847</v>
      </c>
      <c r="B243" s="4">
        <v>30.106382978723403</v>
      </c>
      <c r="C243" s="2">
        <f t="shared" si="3"/>
        <v>1092.1570846536893</v>
      </c>
      <c r="D243" s="7" t="s">
        <v>18</v>
      </c>
    </row>
    <row r="244" spans="1:4" x14ac:dyDescent="0.45">
      <c r="A244" s="4">
        <v>23.614578132800801</v>
      </c>
      <c r="B244" s="4">
        <v>28.95656515227159</v>
      </c>
      <c r="C244" s="2">
        <f t="shared" si="3"/>
        <v>683.79707024585446</v>
      </c>
      <c r="D244" s="7" t="s">
        <v>18</v>
      </c>
    </row>
    <row r="245" spans="1:4" x14ac:dyDescent="0.45">
      <c r="A245" s="4">
        <v>20.074871314927467</v>
      </c>
      <c r="B245" s="4">
        <v>31.07159569489939</v>
      </c>
      <c r="C245" s="2">
        <f t="shared" si="3"/>
        <v>623.75828512455951</v>
      </c>
      <c r="D245" s="7" t="s">
        <v>18</v>
      </c>
    </row>
    <row r="246" spans="1:4" x14ac:dyDescent="0.45">
      <c r="A246" s="4">
        <v>18.696741854636592</v>
      </c>
      <c r="B246" s="4">
        <v>30.771929824561404</v>
      </c>
      <c r="C246" s="2">
        <f t="shared" si="3"/>
        <v>575.33482829881723</v>
      </c>
      <c r="D246" s="7" t="s">
        <v>18</v>
      </c>
    </row>
    <row r="247" spans="1:4" x14ac:dyDescent="0.45">
      <c r="A247" s="2">
        <v>27.798954614053812</v>
      </c>
      <c r="B247" s="2">
        <v>35.515721279493498</v>
      </c>
      <c r="C247" s="2">
        <f t="shared" si="3"/>
        <v>987.29992393402495</v>
      </c>
      <c r="D247" s="7" t="s">
        <v>18</v>
      </c>
    </row>
    <row r="248" spans="1:4" x14ac:dyDescent="0.45">
      <c r="A248" s="2">
        <v>30.868534084659949</v>
      </c>
      <c r="B248" s="2">
        <v>34.961118293345464</v>
      </c>
      <c r="C248" s="2">
        <f t="shared" si="3"/>
        <v>1079.198471675963</v>
      </c>
      <c r="D248" s="7" t="s">
        <v>18</v>
      </c>
    </row>
    <row r="249" spans="1:4" x14ac:dyDescent="0.45">
      <c r="A249" s="2">
        <v>34.293672323934352</v>
      </c>
      <c r="B249" s="2">
        <v>33.075297340638883</v>
      </c>
      <c r="C249" s="2">
        <f t="shared" si="3"/>
        <v>1134.2734090165673</v>
      </c>
      <c r="D249" s="7" t="s">
        <v>18</v>
      </c>
    </row>
    <row r="250" spans="1:4" x14ac:dyDescent="0.45">
      <c r="A250" s="2">
        <v>39.771208749392677</v>
      </c>
      <c r="B250" s="2">
        <v>28.265491168046637</v>
      </c>
      <c r="C250" s="2">
        <f t="shared" si="3"/>
        <v>1124.1527496484978</v>
      </c>
      <c r="D250" s="7" t="s">
        <v>18</v>
      </c>
    </row>
    <row r="251" spans="1:4" x14ac:dyDescent="0.45">
      <c r="A251" s="2">
        <v>27.909895975508864</v>
      </c>
      <c r="B251" s="2">
        <v>37.130760342101034</v>
      </c>
      <c r="C251" s="2">
        <f t="shared" si="3"/>
        <v>1036.3156586395899</v>
      </c>
      <c r="D251" s="7" t="s">
        <v>18</v>
      </c>
    </row>
    <row r="252" spans="1:4" x14ac:dyDescent="0.45">
      <c r="A252" s="2">
        <v>35.306989189475509</v>
      </c>
      <c r="B252" s="2">
        <v>32.345757838100141</v>
      </c>
      <c r="C252" s="2">
        <f t="shared" si="3"/>
        <v>1142.0313223151943</v>
      </c>
      <c r="D252" s="7" t="s">
        <v>18</v>
      </c>
    </row>
    <row r="253" spans="1:4" x14ac:dyDescent="0.45">
      <c r="A253" s="2">
        <v>29.632448452980938</v>
      </c>
      <c r="B253" s="2">
        <v>35.772048218067738</v>
      </c>
      <c r="C253" s="2">
        <f t="shared" si="3"/>
        <v>1060.0133748794408</v>
      </c>
      <c r="D253" s="7" t="s">
        <v>18</v>
      </c>
    </row>
    <row r="254" spans="1:4" x14ac:dyDescent="0.45">
      <c r="A254" s="2">
        <v>33.921707754423188</v>
      </c>
      <c r="B254" s="2">
        <v>32.456175596434406</v>
      </c>
      <c r="C254" s="2">
        <f t="shared" si="3"/>
        <v>1100.9689034084897</v>
      </c>
      <c r="D254" s="7" t="s">
        <v>18</v>
      </c>
    </row>
    <row r="255" spans="1:4" x14ac:dyDescent="0.45">
      <c r="A255" s="2">
        <v>29.064500823085226</v>
      </c>
      <c r="B255" s="2">
        <v>36.384449178528911</v>
      </c>
      <c r="C255" s="2">
        <f t="shared" si="3"/>
        <v>1057.4958530968561</v>
      </c>
      <c r="D255" s="7" t="s">
        <v>18</v>
      </c>
    </row>
  </sheetData>
  <autoFilter ref="A1:D255" xr:uid="{C8096F0D-0B34-47CF-AA2E-693A90DCAE23}"/>
  <conditionalFormatting sqref="A2:C255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Benchmark_ZSM</vt:lpstr>
      <vt:lpstr>Lookuo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msuva</dc:creator>
  <cp:lastModifiedBy>Suvarna  Manu Shivanand</cp:lastModifiedBy>
  <dcterms:created xsi:type="dcterms:W3CDTF">2025-10-03T17:22:05Z</dcterms:created>
  <dcterms:modified xsi:type="dcterms:W3CDTF">2026-01-09T13:23:40Z</dcterms:modified>
</cp:coreProperties>
</file>